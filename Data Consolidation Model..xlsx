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92B078E0C75B6E/Documents/"/>
    </mc:Choice>
  </mc:AlternateContent>
  <xr:revisionPtr revIDLastSave="5" documentId="8_{BD73D1EA-1A2E-4BFE-B0DD-37209E22EA94}" xr6:coauthVersionLast="47" xr6:coauthVersionMax="47" xr10:uidLastSave="{3BECE1CC-A632-4FBE-B757-E1AD7D78157A}"/>
  <bookViews>
    <workbookView xWindow="-108" yWindow="-108" windowWidth="23256" windowHeight="13176" activeTab="3" xr2:uid="{AA1E8830-F515-4168-9C1B-80692CF0B74D}"/>
  </bookViews>
  <sheets>
    <sheet name="Raw- Agency Report" sheetId="1" r:id="rId1"/>
    <sheet name="Raw-client_orders" sheetId="2" r:id="rId2"/>
    <sheet name="Raw-warehouse Log" sheetId="3" r:id="rId3"/>
    <sheet name="Reconciliation Model" sheetId="5" r:id="rId4"/>
  </sheets>
  <externalReferences>
    <externalReference r:id="rId5"/>
  </externalReferences>
  <definedNames>
    <definedName name="Agency_Notes">'Raw- Agency Report'!$F$2:$F$25</definedName>
    <definedName name="Clean_Key" localSheetId="1">'Raw-client_orders'!$G$2:$G$26</definedName>
    <definedName name="Clean_Key" localSheetId="2">'Raw-warehouse Log'!$F$2:$F$25</definedName>
    <definedName name="Clean_Key">'Raw- Agency Report'!$G$2:$G$25</definedName>
    <definedName name="Client">'Raw-client_orders'!$B$2:$B$26</definedName>
    <definedName name="Dispatch_Date">'Raw-warehouse Log'!$E$2:$E$25</definedName>
    <definedName name="Duplicate_Rows">'Raw- Agency Report'!$H$2:$H$25</definedName>
    <definedName name="Fulfilment_Date">'Raw- Agency Report'!$E$2:$E$25</definedName>
    <definedName name="Item_Description">'Raw-warehouse Log'!$B$2:$B$25</definedName>
    <definedName name="ORD_1001" localSheetId="1">'Raw-client_orders'!$B$2:$G$2</definedName>
    <definedName name="ORD_1001" localSheetId="2">'Raw-warehouse Log'!$B$2:$F$2</definedName>
    <definedName name="ORD_1001">'Raw- Agency Report'!$B$2:$H$2</definedName>
    <definedName name="ORD_1002" localSheetId="1">'Raw-client_orders'!$B$3:$G$3</definedName>
    <definedName name="ORD_1002" localSheetId="2">'Raw-warehouse Log'!$B$3:$F$3</definedName>
    <definedName name="ord_1002">'Raw- Agency Report'!$B$3:$H$3</definedName>
    <definedName name="ORD_1003" localSheetId="1">'Raw-client_orders'!$B$4:$G$4</definedName>
    <definedName name="ORD_1003" localSheetId="2">'Raw-warehouse Log'!$B$4:$F$4</definedName>
    <definedName name="ORD_1003">'Raw- Agency Report'!$B$4:$H$4</definedName>
    <definedName name="ORD_1004" localSheetId="1">'Raw-client_orders'!$B$5:$G$5</definedName>
    <definedName name="ORD_1004" localSheetId="2">'Raw-warehouse Log'!$B$5:$F$5</definedName>
    <definedName name="ORD_1004">'Raw- Agency Report'!$B$5:$H$5</definedName>
    <definedName name="ORD_1005" localSheetId="1">'Raw-client_orders'!$B$6:$G$6</definedName>
    <definedName name="ORD_1005" localSheetId="2">'Raw-warehouse Log'!$B$6:$F$6</definedName>
    <definedName name="ORD_1005">'Raw- Agency Report'!$B$7:$H$7</definedName>
    <definedName name="ORD_1006" localSheetId="1">'Raw-client_orders'!$B$7:$G$7</definedName>
    <definedName name="ORD_1006" localSheetId="2">'Raw-warehouse Log'!$B$7:$F$7</definedName>
    <definedName name="ORD_1006">'Raw- Agency Report'!$B$8:$H$8</definedName>
    <definedName name="ORD_1007" localSheetId="1">'Raw-client_orders'!$B$8:$G$8</definedName>
    <definedName name="ORD_1007" localSheetId="2">'Raw-warehouse Log'!$B$8:$F$8</definedName>
    <definedName name="ORD_1007">'Raw- Agency Report'!$B$9:$H$9</definedName>
    <definedName name="ORD_1008" localSheetId="1">'Raw-client_orders'!$B$9:$G$9</definedName>
    <definedName name="ORD_1008" localSheetId="2">'Raw-warehouse Log'!$B$9:$F$9</definedName>
    <definedName name="ORD_1008">'Raw- Agency Report'!$B$10:$H$10</definedName>
    <definedName name="ORD_1009" localSheetId="2">'Raw-warehouse Log'!$B$10:$F$10</definedName>
    <definedName name="ORD_1009">'Raw-client_orders'!$B$10:$G$10</definedName>
    <definedName name="ORD_1010" localSheetId="1">'Raw-client_orders'!$B$11:$G$11</definedName>
    <definedName name="ORD_1010" localSheetId="2">'Raw-warehouse Log'!$B$11:$F$11</definedName>
    <definedName name="ORD_1010">'Raw- Agency Report'!$B$11:$H$11</definedName>
    <definedName name="ORD_1011" localSheetId="1">'Raw-client_orders'!$B$12:$G$12</definedName>
    <definedName name="ORD_1011" localSheetId="2">'Raw-warehouse Log'!$B$12:$F$12</definedName>
    <definedName name="ORD_1011">'Raw- Agency Report'!$B$12:$H$12</definedName>
    <definedName name="ORD_1012" localSheetId="1">'Raw-client_orders'!$B$13:$G$13</definedName>
    <definedName name="ORD_1012" localSheetId="2">'Raw-warehouse Log'!$B$13:$F$13</definedName>
    <definedName name="ord_1012">'Raw- Agency Report'!$B$13:$H$13</definedName>
    <definedName name="ORD_1013" localSheetId="1">'Raw-client_orders'!$B$14:$G$14</definedName>
    <definedName name="ORD_1013" localSheetId="2">'Raw-warehouse Log'!$B$14:$F$14</definedName>
    <definedName name="ORD_1013">'Raw- Agency Report'!$B$14:$H$14</definedName>
    <definedName name="ORD_1014" localSheetId="1">'Raw-client_orders'!$B$15:$G$15</definedName>
    <definedName name="ORD_1014" localSheetId="2">'Raw-warehouse Log'!$B$15:$F$15</definedName>
    <definedName name="ORD_1014">'Raw- Agency Report'!$B$15:$H$15</definedName>
    <definedName name="ORD_1015" localSheetId="1">'Raw-client_orders'!$B$16:$G$16</definedName>
    <definedName name="ORD_1015" localSheetId="2">'Raw-warehouse Log'!$B$16:$F$16</definedName>
    <definedName name="ORD_1015">'Raw- Agency Report'!$B$16:$H$16</definedName>
    <definedName name="ORD_1016" localSheetId="1">'Raw-client_orders'!$B$17:$G$17</definedName>
    <definedName name="ORD_1016" localSheetId="2">'Raw-warehouse Log'!$B$17:$F$17</definedName>
    <definedName name="ORD_1016">'Raw- Agency Report'!$B$17:$H$17</definedName>
    <definedName name="ORD_1017" localSheetId="2">'Raw-warehouse Log'!$B$18:$F$18</definedName>
    <definedName name="ORD_1017">'Raw-client_orders'!$B$18:$G$18</definedName>
    <definedName name="ORD_1018" localSheetId="1">'Raw-client_orders'!$B$19:$G$19</definedName>
    <definedName name="ORD_1018" localSheetId="2">'Raw-warehouse Log'!$B$19:$F$19</definedName>
    <definedName name="ORD_1018">'Raw- Agency Report'!$B$18:$H$18</definedName>
    <definedName name="ORD_1019" localSheetId="1">'Raw-client_orders'!$B$20:$G$20</definedName>
    <definedName name="ORD_1019">'Raw- Agency Report'!$B$19:$H$19</definedName>
    <definedName name="ORD_1020" localSheetId="1">'Raw-client_orders'!$B$21:$G$21</definedName>
    <definedName name="ORD_1020" localSheetId="2">'Raw-warehouse Log'!$B$20:$F$20</definedName>
    <definedName name="ORD_1020">'Raw- Agency Report'!$B$20:$H$20</definedName>
    <definedName name="ORD_1021" localSheetId="1">'Raw-client_orders'!$B$22:$G$22</definedName>
    <definedName name="ORD_1021" localSheetId="2">'Raw-warehouse Log'!$B$21:$F$21</definedName>
    <definedName name="ORD_1021">'Raw- Agency Report'!$B$21:$H$21</definedName>
    <definedName name="ORD_1022" localSheetId="1">'Raw-client_orders'!$B$23:$G$23</definedName>
    <definedName name="ORD_1022" localSheetId="2">'Raw-warehouse Log'!$B$22:$F$22</definedName>
    <definedName name="ord_1022">'Raw- Agency Report'!$B$22:$H$22</definedName>
    <definedName name="ORD_1023" localSheetId="1">'Raw-client_orders'!$B$24:$G$24</definedName>
    <definedName name="ORD_1023" localSheetId="2">'Raw-warehouse Log'!$B$23:$F$23</definedName>
    <definedName name="ORD_1023">'Raw- Agency Report'!$B$23:$H$23</definedName>
    <definedName name="ORD_1024" localSheetId="1">'Raw-client_orders'!$B$25:$G$25</definedName>
    <definedName name="ORD_1024" localSheetId="2">'Raw-warehouse Log'!$B$24:$F$24</definedName>
    <definedName name="ORD_1024">'Raw- Agency Report'!$B$24:$H$24</definedName>
    <definedName name="ORD_1025" localSheetId="1">'Raw-client_orders'!$B$26:$G$26</definedName>
    <definedName name="ORD_1025" localSheetId="2">'Raw-warehouse Log'!$B$25:$F$25</definedName>
    <definedName name="ORD_1025">'Raw- Agency Report'!$B$25:$H$25</definedName>
    <definedName name="Order_Date">'Raw-client_orders'!$F$2:$F$26</definedName>
    <definedName name="Order_ID">'Raw-client_orders'!$B$2:$G$26</definedName>
    <definedName name="Order_Number">'Raw-warehouse Log'!$B$2:$F$25</definedName>
    <definedName name="Order_Ref">'Raw- Agency Report'!$B$2:$H$25</definedName>
    <definedName name="Product">'Raw- Agency Report'!$B$2:$B$25</definedName>
    <definedName name="Product_Name">'Raw-client_orders'!$C$2:$C$26</definedName>
    <definedName name="Qty_Dispatched">'Raw-warehouse Log'!$D$2:$D$25</definedName>
    <definedName name="Qty_Fulfilled">'Raw- Agency Report'!$D$2:$D$25</definedName>
    <definedName name="Qty_Ordered">'Raw-client_orders'!$E$2:$E$26</definedName>
    <definedName name="SKU" localSheetId="2">'Raw-warehouse Log'!$C$2:$C$25</definedName>
    <definedName name="SKU">'Raw-client_orders'!$D$2:$D$26</definedName>
    <definedName name="SKU_Code">'Raw- Agency Report'!$C$2:$C$25</definedName>
  </definedNames>
  <calcPr calcId="0"/>
</workbook>
</file>

<file path=xl/calcChain.xml><?xml version="1.0" encoding="utf-8"?>
<calcChain xmlns="http://schemas.openxmlformats.org/spreadsheetml/2006/main">
  <c r="C30" i="5" l="1"/>
  <c r="G2" i="5" l="1"/>
  <c r="I2" i="5" s="1"/>
  <c r="A2" i="5"/>
  <c r="B2" i="5"/>
  <c r="C2" i="5"/>
  <c r="D2" i="5"/>
  <c r="E2" i="5"/>
  <c r="F2" i="5"/>
  <c r="H2" i="5" s="1"/>
  <c r="J2" i="5"/>
  <c r="A3" i="5"/>
  <c r="B3" i="5"/>
  <c r="C3" i="5"/>
  <c r="D3" i="5"/>
  <c r="E3" i="5"/>
  <c r="F3" i="5"/>
  <c r="H3" i="5" s="1"/>
  <c r="G3" i="5"/>
  <c r="I3" i="5" s="1"/>
  <c r="J3" i="5"/>
  <c r="A4" i="5"/>
  <c r="B4" i="5"/>
  <c r="C4" i="5"/>
  <c r="D4" i="5"/>
  <c r="E4" i="5"/>
  <c r="F4" i="5"/>
  <c r="G4" i="5"/>
  <c r="I4" i="5" s="1"/>
  <c r="H4" i="5"/>
  <c r="K4" i="5" s="1"/>
  <c r="J4" i="5"/>
  <c r="A5" i="5"/>
  <c r="B5" i="5"/>
  <c r="C5" i="5"/>
  <c r="D5" i="5"/>
  <c r="E5" i="5"/>
  <c r="F5" i="5"/>
  <c r="H5" i="5" s="1"/>
  <c r="K5" i="5" s="1"/>
  <c r="G5" i="5"/>
  <c r="I5" i="5"/>
  <c r="J5" i="5"/>
  <c r="A6" i="5"/>
  <c r="B6" i="5"/>
  <c r="C6" i="5"/>
  <c r="D6" i="5"/>
  <c r="E6" i="5"/>
  <c r="F6" i="5"/>
  <c r="H6" i="5" s="1"/>
  <c r="G6" i="5"/>
  <c r="J6" i="5"/>
  <c r="A7" i="5"/>
  <c r="B7" i="5"/>
  <c r="C7" i="5"/>
  <c r="D7" i="5"/>
  <c r="E7" i="5"/>
  <c r="F7" i="5"/>
  <c r="G7" i="5"/>
  <c r="J7" i="5"/>
  <c r="A8" i="5"/>
  <c r="B8" i="5"/>
  <c r="C8" i="5"/>
  <c r="D8" i="5"/>
  <c r="E8" i="5"/>
  <c r="F8" i="5"/>
  <c r="H8" i="5" s="1"/>
  <c r="G8" i="5"/>
  <c r="J8" i="5"/>
  <c r="A9" i="5"/>
  <c r="B9" i="5"/>
  <c r="C9" i="5"/>
  <c r="D9" i="5"/>
  <c r="E9" i="5"/>
  <c r="F9" i="5"/>
  <c r="H9" i="5" s="1"/>
  <c r="G9" i="5"/>
  <c r="I9" i="5" s="1"/>
  <c r="J9" i="5"/>
  <c r="A10" i="5"/>
  <c r="B10" i="5"/>
  <c r="C10" i="5"/>
  <c r="D10" i="5"/>
  <c r="E10" i="5"/>
  <c r="F10" i="5"/>
  <c r="H10" i="5" s="1"/>
  <c r="G10" i="5"/>
  <c r="I10" i="5" s="1"/>
  <c r="J10" i="5"/>
  <c r="A11" i="5"/>
  <c r="B11" i="5"/>
  <c r="C11" i="5"/>
  <c r="D11" i="5"/>
  <c r="E11" i="5"/>
  <c r="F11" i="5"/>
  <c r="G11" i="5"/>
  <c r="I11" i="5" s="1"/>
  <c r="H11" i="5"/>
  <c r="J11" i="5"/>
  <c r="A12" i="5"/>
  <c r="B12" i="5"/>
  <c r="C12" i="5"/>
  <c r="D12" i="5"/>
  <c r="E12" i="5"/>
  <c r="F12" i="5"/>
  <c r="H12" i="5" s="1"/>
  <c r="K12" i="5" s="1"/>
  <c r="G12" i="5"/>
  <c r="I12" i="5"/>
  <c r="J12" i="5"/>
  <c r="A13" i="5"/>
  <c r="B13" i="5"/>
  <c r="C13" i="5"/>
  <c r="D13" i="5"/>
  <c r="E13" i="5"/>
  <c r="F13" i="5"/>
  <c r="G13" i="5"/>
  <c r="I13" i="5" s="1"/>
  <c r="H13" i="5"/>
  <c r="J13" i="5"/>
  <c r="A14" i="5"/>
  <c r="C28" i="5" s="1"/>
  <c r="B14" i="5"/>
  <c r="C14" i="5"/>
  <c r="D14" i="5"/>
  <c r="E14" i="5"/>
  <c r="H14" i="5" s="1"/>
  <c r="K14" i="5" s="1"/>
  <c r="F14" i="5"/>
  <c r="G14" i="5"/>
  <c r="I14" i="5"/>
  <c r="J14" i="5"/>
  <c r="A15" i="5"/>
  <c r="B15" i="5"/>
  <c r="C15" i="5"/>
  <c r="D15" i="5"/>
  <c r="E15" i="5"/>
  <c r="I15" i="5" s="1"/>
  <c r="F15" i="5"/>
  <c r="H15" i="5" s="1"/>
  <c r="K15" i="5" s="1"/>
  <c r="G15" i="5"/>
  <c r="J15" i="5"/>
  <c r="A16" i="5"/>
  <c r="B16" i="5"/>
  <c r="C16" i="5"/>
  <c r="D16" i="5"/>
  <c r="E16" i="5"/>
  <c r="F16" i="5"/>
  <c r="H16" i="5" s="1"/>
  <c r="G16" i="5"/>
  <c r="I16" i="5" s="1"/>
  <c r="J16" i="5"/>
  <c r="A17" i="5"/>
  <c r="B17" i="5"/>
  <c r="C17" i="5"/>
  <c r="D17" i="5"/>
  <c r="E17" i="5"/>
  <c r="F17" i="5"/>
  <c r="H17" i="5" s="1"/>
  <c r="K17" i="5" s="1"/>
  <c r="G17" i="5"/>
  <c r="I17" i="5"/>
  <c r="J17" i="5"/>
  <c r="A18" i="5"/>
  <c r="B18" i="5"/>
  <c r="C18" i="5"/>
  <c r="D18" i="5"/>
  <c r="E18" i="5"/>
  <c r="F18" i="5"/>
  <c r="H18" i="5" s="1"/>
  <c r="G18" i="5"/>
  <c r="I18" i="5" s="1"/>
  <c r="J18" i="5"/>
  <c r="A19" i="5"/>
  <c r="B19" i="5"/>
  <c r="C19" i="5"/>
  <c r="D19" i="5"/>
  <c r="E19" i="5"/>
  <c r="F19" i="5"/>
  <c r="G19" i="5"/>
  <c r="J19" i="5"/>
  <c r="A20" i="5"/>
  <c r="B20" i="5"/>
  <c r="C20" i="5"/>
  <c r="D20" i="5"/>
  <c r="E20" i="5"/>
  <c r="F20" i="5"/>
  <c r="H20" i="5" s="1"/>
  <c r="G20" i="5"/>
  <c r="I20" i="5" s="1"/>
  <c r="J20" i="5"/>
  <c r="A21" i="5"/>
  <c r="B21" i="5"/>
  <c r="C21" i="5"/>
  <c r="D21" i="5"/>
  <c r="E21" i="5"/>
  <c r="F21" i="5"/>
  <c r="G21" i="5"/>
  <c r="I21" i="5" s="1"/>
  <c r="J21" i="5"/>
  <c r="A22" i="5"/>
  <c r="B22" i="5"/>
  <c r="C22" i="5"/>
  <c r="D22" i="5"/>
  <c r="E22" i="5"/>
  <c r="H22" i="5" s="1"/>
  <c r="F22" i="5"/>
  <c r="G22" i="5"/>
  <c r="J22" i="5"/>
  <c r="A23" i="5"/>
  <c r="B23" i="5"/>
  <c r="C23" i="5"/>
  <c r="D23" i="5"/>
  <c r="E23" i="5"/>
  <c r="F23" i="5"/>
  <c r="G23" i="5"/>
  <c r="I23" i="5" s="1"/>
  <c r="H23" i="5"/>
  <c r="J23" i="5"/>
  <c r="A24" i="5"/>
  <c r="B24" i="5"/>
  <c r="C24" i="5"/>
  <c r="D24" i="5"/>
  <c r="E24" i="5"/>
  <c r="F24" i="5"/>
  <c r="G24" i="5"/>
  <c r="I24" i="5" s="1"/>
  <c r="H24" i="5"/>
  <c r="J24" i="5"/>
  <c r="A25" i="5"/>
  <c r="B25" i="5"/>
  <c r="C25" i="5"/>
  <c r="D25" i="5"/>
  <c r="E25" i="5"/>
  <c r="F25" i="5"/>
  <c r="H25" i="5" s="1"/>
  <c r="K25" i="5" s="1"/>
  <c r="G25" i="5"/>
  <c r="I25" i="5"/>
  <c r="J25" i="5"/>
  <c r="A26" i="5"/>
  <c r="B26" i="5"/>
  <c r="C26" i="5"/>
  <c r="D26" i="5"/>
  <c r="E26" i="5"/>
  <c r="F26" i="5"/>
  <c r="H26" i="5" s="1"/>
  <c r="G26" i="5"/>
  <c r="I26" i="5" s="1"/>
  <c r="J26" i="5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H19" i="1" s="1"/>
  <c r="G20" i="1"/>
  <c r="G21" i="1"/>
  <c r="G22" i="1"/>
  <c r="G23" i="1"/>
  <c r="G24" i="1"/>
  <c r="G25" i="1"/>
  <c r="G2" i="1"/>
  <c r="K26" i="5" l="1"/>
  <c r="K16" i="5"/>
  <c r="K13" i="5"/>
  <c r="K3" i="5"/>
  <c r="I6" i="5"/>
  <c r="K6" i="5" s="1"/>
  <c r="K20" i="5"/>
  <c r="H21" i="5"/>
  <c r="K21" i="5" s="1"/>
  <c r="H7" i="5"/>
  <c r="K24" i="5"/>
  <c r="K18" i="5"/>
  <c r="K11" i="5"/>
  <c r="I22" i="5"/>
  <c r="K22" i="5" s="1"/>
  <c r="I8" i="5"/>
  <c r="K8" i="5" s="1"/>
  <c r="K2" i="5"/>
  <c r="K23" i="5"/>
  <c r="H19" i="5"/>
  <c r="H16" i="1"/>
  <c r="H15" i="1"/>
  <c r="H25" i="1"/>
  <c r="H24" i="1"/>
  <c r="H17" i="1"/>
  <c r="H21" i="1"/>
  <c r="H18" i="1"/>
  <c r="H22" i="1"/>
  <c r="H10" i="1"/>
  <c r="H9" i="1"/>
  <c r="H8" i="1"/>
  <c r="H7" i="1"/>
  <c r="H6" i="1"/>
  <c r="H5" i="1"/>
  <c r="H4" i="1"/>
  <c r="H3" i="1"/>
  <c r="H2" i="1"/>
  <c r="H14" i="1"/>
  <c r="H13" i="1"/>
  <c r="H12" i="1"/>
  <c r="H20" i="1"/>
  <c r="H23" i="1"/>
  <c r="H11" i="1"/>
  <c r="K10" i="5"/>
  <c r="K9" i="5"/>
  <c r="I19" i="5"/>
  <c r="I7" i="5"/>
  <c r="K7" i="5" l="1"/>
  <c r="K19" i="5"/>
  <c r="C29" i="5"/>
</calcChain>
</file>

<file path=xl/sharedStrings.xml><?xml version="1.0" encoding="utf-8"?>
<sst xmlns="http://schemas.openxmlformats.org/spreadsheetml/2006/main" count="285" uniqueCount="88">
  <si>
    <t>Order Ref</t>
  </si>
  <si>
    <t>Product</t>
  </si>
  <si>
    <t>SKU Code</t>
  </si>
  <si>
    <t>Qty Fulfilled</t>
  </si>
  <si>
    <t>Fulfilment Date</t>
  </si>
  <si>
    <t>Agency Notes</t>
  </si>
  <si>
    <t>ORD-1001</t>
  </si>
  <si>
    <t>Wireless Mouse - Black</t>
  </si>
  <si>
    <t>SKU-1001</t>
  </si>
  <si>
    <t>Partial stock issue</t>
  </si>
  <si>
    <t>ord-1002</t>
  </si>
  <si>
    <t>Mechanical Keyboard</t>
  </si>
  <si>
    <t>SKU-1002</t>
  </si>
  <si>
    <t>ORD-1003</t>
  </si>
  <si>
    <t>USB-C Hub 7-in-1</t>
  </si>
  <si>
    <t>SKU-1003</t>
  </si>
  <si>
    <t>ORD-1004</t>
  </si>
  <si>
    <t>Webcam HD 1080p</t>
  </si>
  <si>
    <t>SKU-1004</t>
  </si>
  <si>
    <t>Duplicate entry - system resend</t>
  </si>
  <si>
    <t xml:space="preserve">ORD-1005 </t>
  </si>
  <si>
    <t>Laptop Stand Aluminium</t>
  </si>
  <si>
    <t>SKU-1005</t>
  </si>
  <si>
    <t>ORD-1006</t>
  </si>
  <si>
    <t>Noise Cancelling Headphones</t>
  </si>
  <si>
    <t>SKU-1006</t>
  </si>
  <si>
    <t>Stock shortage</t>
  </si>
  <si>
    <t>ORD-1007</t>
  </si>
  <si>
    <t>Portable SSD 1TB</t>
  </si>
  <si>
    <t>SKU-1007</t>
  </si>
  <si>
    <t>ORD-1008</t>
  </si>
  <si>
    <t>Wireless Charger Pad</t>
  </si>
  <si>
    <t>SKU-1008</t>
  </si>
  <si>
    <t>ORD-1010</t>
  </si>
  <si>
    <t>Monitor Arm Mount</t>
  </si>
  <si>
    <t>SKU-1010</t>
  </si>
  <si>
    <t>ORD-1011</t>
  </si>
  <si>
    <t>ord-1012</t>
  </si>
  <si>
    <t>ORD-1013</t>
  </si>
  <si>
    <t>Short shipped</t>
  </si>
  <si>
    <t>ORD-1014</t>
  </si>
  <si>
    <t>ORD-1015</t>
  </si>
  <si>
    <t>ORD-1016</t>
  </si>
  <si>
    <t xml:space="preserve">ORD-1018 </t>
  </si>
  <si>
    <t>ORD-1019</t>
  </si>
  <si>
    <t>Bluetooth Speaker Mini</t>
  </si>
  <si>
    <t>SKU-1009</t>
  </si>
  <si>
    <t>ORD-1020</t>
  </si>
  <si>
    <t>Overshipped - agency error</t>
  </si>
  <si>
    <t>ORD-1021</t>
  </si>
  <si>
    <t>ord-1022</t>
  </si>
  <si>
    <t>ORD-1023</t>
  </si>
  <si>
    <t>ORD-1024</t>
  </si>
  <si>
    <t>ORD-1025</t>
  </si>
  <si>
    <t>Brightline Retail</t>
  </si>
  <si>
    <t>Apex Living</t>
  </si>
  <si>
    <t>Nova Goods</t>
  </si>
  <si>
    <t>ORD-1022</t>
  </si>
  <si>
    <t>ORD-1018</t>
  </si>
  <si>
    <t>ORD-1017</t>
  </si>
  <si>
    <t>ORD-1012</t>
  </si>
  <si>
    <t>ORD-1009</t>
  </si>
  <si>
    <t>ORD-1005</t>
  </si>
  <si>
    <t>ORD-1002</t>
  </si>
  <si>
    <t>Order Date</t>
  </si>
  <si>
    <t>Qty Ordered</t>
  </si>
  <si>
    <t>SKU</t>
  </si>
  <si>
    <t>Product Name</t>
  </si>
  <si>
    <t>Client</t>
  </si>
  <si>
    <t>Order ID</t>
  </si>
  <si>
    <t>Laptop Stand - Aluminium</t>
  </si>
  <si>
    <t>USB-C Hub (7-in-1)</t>
  </si>
  <si>
    <t>Wireless Mouse (Black)</t>
  </si>
  <si>
    <t>Dispatch Date</t>
  </si>
  <si>
    <t>Qty Dispatched</t>
  </si>
  <si>
    <t>Item Description</t>
  </si>
  <si>
    <t>Order Number</t>
  </si>
  <si>
    <t>Clean Key</t>
  </si>
  <si>
    <t>Duplicate Rows</t>
  </si>
  <si>
    <t>Qty Fulfilled (Agency)</t>
  </si>
  <si>
    <t>Agency Status</t>
  </si>
  <si>
    <t>Data Accuracy Rate:</t>
  </si>
  <si>
    <t>Orders Needing Review:</t>
  </si>
  <si>
    <t>Total Orders Reviewed:</t>
  </si>
  <si>
    <t>Overall Flag</t>
  </si>
  <si>
    <t>Data Quality Note</t>
  </si>
  <si>
    <t>Warehouse Status</t>
  </si>
  <si>
    <t>Qty Dispatched (Warehouse)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</si>
</sst>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yyyy\-mm\-dd"/>
    <numFmt numFmtId="165" formatCode="mm\-dd\-yyyy"/>
    <numFmt numFmtId="167" formatCode="0.0%"/>
  </numFmts>
  <fonts count="29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2"/>
      <name val="Aptos Narrow"/>
      <family val="2"/>
      <scheme val="minor"/>
    </font>
    <font>
      <sz val="11"/>
      <color theme="3" tint="0.24997711111789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color rgb="FF008000"/>
      <name val="Arial"/>
      <family val="2"/>
    </font>
    <font>
      <sz val="11"/>
      <color theme="1"/>
      <name val="Calibri"/>
      <family val="2"/>
    </font>
    <font>
      <b/>
      <sz val="11"/>
      <color theme="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48">
    <xf numFmtId="0" fontId="0" fillId="0" borderId="0"/>
    <xf numFmtId="43" fontId="23" fillId="0" borderId="0" applyBorder="0" applyAlignment="0" applyProtection="0"/>
    <xf numFmtId="41" fontId="23" fillId="0" borderId="0" applyBorder="0" applyAlignment="0" applyProtection="0"/>
    <xf numFmtId="44" fontId="23" fillId="0" borderId="0" applyBorder="0" applyAlignment="0" applyProtection="0"/>
    <xf numFmtId="42" fontId="23" fillId="0" borderId="0" applyBorder="0" applyAlignment="0" applyProtection="0"/>
    <xf numFmtId="9" fontId="23" fillId="0" borderId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3" borderId="0" applyFont="0" applyFill="0" applyAlignment="0">
      <alignment vertical="center" wrapText="1"/>
    </xf>
  </cellStyleXfs>
  <cellXfs count="25">
    <xf numFmtId="0" fontId="0" fillId="0" borderId="0" xfId="0"/>
    <xf numFmtId="0" fontId="18" fillId="0" borderId="0" xfId="0" applyFont="1"/>
    <xf numFmtId="0" fontId="0" fillId="0" borderId="0" xfId="0" applyAlignment="1">
      <alignment vertical="center"/>
    </xf>
    <xf numFmtId="0" fontId="20" fillId="0" borderId="0" xfId="0" applyFont="1"/>
    <xf numFmtId="0" fontId="21" fillId="0" borderId="0" xfId="47" applyFont="1" applyFill="1" applyAlignment="1"/>
    <xf numFmtId="0" fontId="22" fillId="0" borderId="0" xfId="0" applyFont="1"/>
    <xf numFmtId="0" fontId="19" fillId="33" borderId="0" xfId="0" applyFont="1" applyFill="1" applyAlignment="1">
      <alignment vertical="center"/>
    </xf>
    <xf numFmtId="0" fontId="20" fillId="0" borderId="0" xfId="0" applyFont="1" applyAlignment="1"/>
    <xf numFmtId="14" fontId="20" fillId="0" borderId="0" xfId="0" applyNumberFormat="1" applyFont="1" applyAlignment="1"/>
    <xf numFmtId="0" fontId="16" fillId="0" borderId="0" xfId="0" applyFont="1" applyAlignment="1"/>
    <xf numFmtId="164" fontId="20" fillId="0" borderId="0" xfId="0" applyNumberFormat="1" applyFont="1" applyAlignment="1"/>
    <xf numFmtId="164" fontId="0" fillId="0" borderId="0" xfId="0" applyNumberFormat="1"/>
    <xf numFmtId="165" fontId="19" fillId="33" borderId="0" xfId="0" applyNumberFormat="1" applyFont="1" applyFill="1" applyAlignment="1">
      <alignment vertical="center"/>
    </xf>
    <xf numFmtId="165" fontId="20" fillId="0" borderId="0" xfId="0" applyNumberFormat="1" applyFont="1" applyAlignment="1"/>
    <xf numFmtId="165" fontId="20" fillId="0" borderId="0" xfId="0" applyNumberFormat="1" applyFont="1"/>
    <xf numFmtId="167" fontId="24" fillId="0" borderId="0" xfId="0" applyNumberFormat="1" applyFont="1"/>
    <xf numFmtId="0" fontId="25" fillId="0" borderId="0" xfId="0" applyFont="1"/>
    <xf numFmtId="0" fontId="24" fillId="0" borderId="0" xfId="0" applyFont="1"/>
    <xf numFmtId="0" fontId="24" fillId="0" borderId="10" xfId="0" applyFont="1" applyBorder="1"/>
    <xf numFmtId="0" fontId="26" fillId="0" borderId="10" xfId="0" applyFont="1" applyBorder="1"/>
    <xf numFmtId="0" fontId="27" fillId="0" borderId="0" xfId="0" applyFont="1"/>
    <xf numFmtId="0" fontId="28" fillId="33" borderId="0" xfId="0" applyFont="1" applyFill="1" applyAlignment="1">
      <alignment vertical="center"/>
    </xf>
    <xf numFmtId="165" fontId="28" fillId="33" borderId="0" xfId="0" applyNumberFormat="1" applyFont="1" applyFill="1" applyAlignment="1">
      <alignment vertical="center"/>
    </xf>
    <xf numFmtId="0" fontId="28" fillId="33" borderId="0" xfId="0" applyFont="1" applyFill="1" applyAlignment="1">
      <alignment vertical="center" wrapText="1"/>
    </xf>
    <xf numFmtId="165" fontId="28" fillId="33" borderId="0" xfId="0" applyNumberFormat="1" applyFont="1" applyFill="1" applyAlignment="1">
      <alignment vertical="center" wrapText="1"/>
    </xf>
  </cellXfs>
  <cellStyles count="48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Custom11" xfId="47" xr:uid="{10436A46-7D9B-44BD-8ED6-5858C02AF14C}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 customBuiltin="1"/>
    <cellStyle name="Note" xfId="20" builtinId="10" customBuiltin="1"/>
    <cellStyle name="Output" xfId="15" builtinId="21" customBuiltin="1"/>
    <cellStyle name="Per cent" xfId="5" builtinId="5" customBuiltin="1"/>
    <cellStyle name="Title" xfId="6" builtinId="15" customBuiltin="1"/>
    <cellStyle name="Total" xfId="22" builtinId="25" customBuiltin="1"/>
    <cellStyle name="Warning Text" xfId="19" builtinId="11" customBuiltin="1"/>
  </cellStyles>
  <dxfs count="3"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yela\Downloads\Data_Reconciliation_Model.xlsx" TargetMode="External"/><Relationship Id="rId1" Type="http://schemas.openxmlformats.org/officeDocument/2006/relationships/externalLinkPath" Target="file:///C:\Users\oyela\Downloads\Data_Reconciliation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 Here"/>
      <sheetName val="Raw - Client Orders"/>
      <sheetName val="Raw - Agency Report"/>
      <sheetName val="Raw - Warehouse Log"/>
      <sheetName val="Discrepancy Summary"/>
      <sheetName val="Findings Memo"/>
    </sheetNames>
    <sheetDataSet>
      <sheetData sheetId="0"/>
      <sheetData sheetId="1">
        <row r="2">
          <cell r="A2" t="str">
            <v>ORD-1001</v>
          </cell>
          <cell r="B2" t="str">
            <v>Brightline Retail</v>
          </cell>
          <cell r="C2" t="str">
            <v>Wireless Mouse - Black</v>
          </cell>
          <cell r="D2" t="str">
            <v>SKU-1001</v>
          </cell>
          <cell r="E2">
            <v>50</v>
          </cell>
          <cell r="G2" t="str">
            <v>ORD-1001</v>
          </cell>
        </row>
        <row r="3">
          <cell r="A3" t="str">
            <v>ORD-1002</v>
          </cell>
          <cell r="B3" t="str">
            <v>Brightline Retail</v>
          </cell>
          <cell r="C3" t="str">
            <v>Mechanical Keyboard</v>
          </cell>
          <cell r="D3" t="str">
            <v>SKU-1002</v>
          </cell>
          <cell r="E3">
            <v>30</v>
          </cell>
          <cell r="G3" t="str">
            <v>ORD-1002</v>
          </cell>
        </row>
        <row r="4">
          <cell r="A4" t="str">
            <v>ORD-1003</v>
          </cell>
          <cell r="B4" t="str">
            <v>Nova Goods</v>
          </cell>
          <cell r="C4" t="str">
            <v>USB-C Hub 7-in-1</v>
          </cell>
          <cell r="D4" t="str">
            <v>SKU-1003</v>
          </cell>
          <cell r="E4">
            <v>75</v>
          </cell>
          <cell r="G4" t="str">
            <v>ORD-1003</v>
          </cell>
        </row>
        <row r="5">
          <cell r="A5" t="str">
            <v>ORD-1004</v>
          </cell>
          <cell r="B5" t="str">
            <v>Nova Goods</v>
          </cell>
          <cell r="C5" t="str">
            <v>Webcam HD 1080p</v>
          </cell>
          <cell r="D5" t="str">
            <v>SKU-1004</v>
          </cell>
          <cell r="E5">
            <v>20</v>
          </cell>
          <cell r="G5" t="str">
            <v>ORD-1004</v>
          </cell>
        </row>
        <row r="6">
          <cell r="A6" t="str">
            <v>ORD-1005</v>
          </cell>
          <cell r="B6" t="str">
            <v>Apex Living</v>
          </cell>
          <cell r="C6" t="str">
            <v>Laptop Stand Aluminium</v>
          </cell>
          <cell r="D6" t="str">
            <v>SKU-1005</v>
          </cell>
          <cell r="E6">
            <v>40</v>
          </cell>
          <cell r="G6" t="str">
            <v>ORD-1005</v>
          </cell>
        </row>
        <row r="7">
          <cell r="A7" t="str">
            <v>ORD-1006</v>
          </cell>
          <cell r="B7" t="str">
            <v>Apex Living</v>
          </cell>
          <cell r="C7" t="str">
            <v>Noise Cancelling Headphones</v>
          </cell>
          <cell r="D7" t="str">
            <v>SKU-1006</v>
          </cell>
          <cell r="E7">
            <v>15</v>
          </cell>
          <cell r="G7" t="str">
            <v>ORD-1006</v>
          </cell>
        </row>
        <row r="8">
          <cell r="A8" t="str">
            <v>ORD-1007</v>
          </cell>
          <cell r="B8" t="str">
            <v>Brightline Retail</v>
          </cell>
          <cell r="C8" t="str">
            <v>Portable SSD 1TB</v>
          </cell>
          <cell r="D8" t="str">
            <v>SKU-1007</v>
          </cell>
          <cell r="E8">
            <v>60</v>
          </cell>
          <cell r="G8" t="str">
            <v>ORD-1007</v>
          </cell>
        </row>
        <row r="9">
          <cell r="A9" t="str">
            <v>ORD-1008</v>
          </cell>
          <cell r="B9" t="str">
            <v>Brightline Retail</v>
          </cell>
          <cell r="C9" t="str">
            <v>Wireless Charger Pad</v>
          </cell>
          <cell r="D9" t="str">
            <v>SKU-1008</v>
          </cell>
          <cell r="E9">
            <v>100</v>
          </cell>
          <cell r="G9" t="str">
            <v>ORD-1008</v>
          </cell>
        </row>
        <row r="10">
          <cell r="A10" t="str">
            <v>ORD-1009</v>
          </cell>
          <cell r="B10" t="str">
            <v>Nova Goods</v>
          </cell>
          <cell r="C10" t="str">
            <v>Bluetooth Speaker Mini</v>
          </cell>
          <cell r="D10" t="str">
            <v>SKU-1009</v>
          </cell>
          <cell r="E10">
            <v>45</v>
          </cell>
          <cell r="G10" t="str">
            <v>ORD-1009</v>
          </cell>
        </row>
        <row r="11">
          <cell r="A11" t="str">
            <v>ORD-1010</v>
          </cell>
          <cell r="B11" t="str">
            <v>Nova Goods</v>
          </cell>
          <cell r="C11" t="str">
            <v>Monitor Arm Mount</v>
          </cell>
          <cell r="D11" t="str">
            <v>SKU-1010</v>
          </cell>
          <cell r="E11">
            <v>25</v>
          </cell>
          <cell r="G11" t="str">
            <v>ORD-1010</v>
          </cell>
        </row>
        <row r="12">
          <cell r="A12" t="str">
            <v>ORD-1011</v>
          </cell>
          <cell r="B12" t="str">
            <v>Apex Living</v>
          </cell>
          <cell r="C12" t="str">
            <v>Wireless Mouse - Black</v>
          </cell>
          <cell r="D12" t="str">
            <v>SKU-1001</v>
          </cell>
          <cell r="E12">
            <v>35</v>
          </cell>
          <cell r="G12" t="str">
            <v>ORD-1011</v>
          </cell>
        </row>
        <row r="13">
          <cell r="A13" t="str">
            <v>ORD-1012</v>
          </cell>
          <cell r="B13" t="str">
            <v>Apex Living</v>
          </cell>
          <cell r="C13" t="str">
            <v>Mechanical Keyboard</v>
          </cell>
          <cell r="D13" t="str">
            <v>SKU-1002</v>
          </cell>
          <cell r="E13">
            <v>20</v>
          </cell>
          <cell r="G13" t="str">
            <v>ORD-1012</v>
          </cell>
        </row>
        <row r="14">
          <cell r="A14" t="str">
            <v>ORD-1013</v>
          </cell>
          <cell r="B14" t="str">
            <v>Brightline Retail</v>
          </cell>
          <cell r="C14" t="str">
            <v>USB-C Hub 7-in-1</v>
          </cell>
          <cell r="D14" t="str">
            <v>SKU-1003</v>
          </cell>
          <cell r="E14">
            <v>55</v>
          </cell>
          <cell r="G14" t="str">
            <v>ORD-1013</v>
          </cell>
        </row>
        <row r="15">
          <cell r="A15" t="str">
            <v>ORD-1014</v>
          </cell>
          <cell r="B15" t="str">
            <v>Brightline Retail</v>
          </cell>
          <cell r="C15" t="str">
            <v>Webcam HD 1080p</v>
          </cell>
          <cell r="D15" t="str">
            <v>SKU-1004</v>
          </cell>
          <cell r="E15">
            <v>30</v>
          </cell>
          <cell r="G15" t="str">
            <v>ORD-1014</v>
          </cell>
        </row>
        <row r="16">
          <cell r="A16" t="str">
            <v>ORD-1015</v>
          </cell>
          <cell r="B16" t="str">
            <v>Nova Goods</v>
          </cell>
          <cell r="C16" t="str">
            <v>Laptop Stand Aluminium</v>
          </cell>
          <cell r="D16" t="str">
            <v>SKU-1005</v>
          </cell>
          <cell r="E16">
            <v>65</v>
          </cell>
          <cell r="G16" t="str">
            <v>ORD-1015</v>
          </cell>
        </row>
        <row r="17">
          <cell r="A17" t="str">
            <v>ORD-1016</v>
          </cell>
          <cell r="B17" t="str">
            <v>Nova Goods</v>
          </cell>
          <cell r="C17" t="str">
            <v>Noise Cancelling Headphones</v>
          </cell>
          <cell r="D17" t="str">
            <v>SKU-1006</v>
          </cell>
          <cell r="E17">
            <v>10</v>
          </cell>
          <cell r="G17" t="str">
            <v>ORD-1016</v>
          </cell>
        </row>
        <row r="18">
          <cell r="A18" t="str">
            <v>ORD-1017</v>
          </cell>
          <cell r="B18" t="str">
            <v>Apex Living</v>
          </cell>
          <cell r="C18" t="str">
            <v>Portable SSD 1TB</v>
          </cell>
          <cell r="D18" t="str">
            <v>SKU-1007</v>
          </cell>
          <cell r="E18">
            <v>50</v>
          </cell>
          <cell r="G18" t="str">
            <v>ORD-1017</v>
          </cell>
        </row>
        <row r="19">
          <cell r="A19" t="str">
            <v>ORD-1018</v>
          </cell>
          <cell r="B19" t="str">
            <v>Apex Living</v>
          </cell>
          <cell r="C19" t="str">
            <v>Wireless Charger Pad</v>
          </cell>
          <cell r="D19" t="str">
            <v>SKU-1008</v>
          </cell>
          <cell r="E19">
            <v>80</v>
          </cell>
          <cell r="G19" t="str">
            <v>ORD-1018</v>
          </cell>
        </row>
        <row r="20">
          <cell r="A20" t="str">
            <v>ORD-1019</v>
          </cell>
          <cell r="B20" t="str">
            <v>Brightline Retail</v>
          </cell>
          <cell r="C20" t="str">
            <v>Bluetooth Speaker Mini</v>
          </cell>
          <cell r="D20" t="str">
            <v>SKU-1009</v>
          </cell>
          <cell r="E20">
            <v>40</v>
          </cell>
          <cell r="G20" t="str">
            <v>ORD-1019</v>
          </cell>
        </row>
        <row r="21">
          <cell r="A21" t="str">
            <v>ORD-1020</v>
          </cell>
          <cell r="B21" t="str">
            <v>Brightline Retail</v>
          </cell>
          <cell r="C21" t="str">
            <v>Monitor Arm Mount</v>
          </cell>
          <cell r="D21" t="str">
            <v>SKU-1010</v>
          </cell>
          <cell r="E21">
            <v>15</v>
          </cell>
          <cell r="G21" t="str">
            <v>ORD-1020</v>
          </cell>
        </row>
        <row r="22">
          <cell r="A22" t="str">
            <v>ORD-1021</v>
          </cell>
          <cell r="B22" t="str">
            <v>Nova Goods</v>
          </cell>
          <cell r="C22" t="str">
            <v>Wireless Mouse - Black</v>
          </cell>
          <cell r="D22" t="str">
            <v>SKU-1001</v>
          </cell>
          <cell r="E22">
            <v>70</v>
          </cell>
          <cell r="G22" t="str">
            <v>ORD-1021</v>
          </cell>
        </row>
        <row r="23">
          <cell r="A23" t="str">
            <v>ORD-1022</v>
          </cell>
          <cell r="B23" t="str">
            <v>Nova Goods</v>
          </cell>
          <cell r="C23" t="str">
            <v>Mechanical Keyboard</v>
          </cell>
          <cell r="D23" t="str">
            <v>SKU-1002</v>
          </cell>
          <cell r="E23">
            <v>25</v>
          </cell>
          <cell r="G23" t="str">
            <v>ORD-1022</v>
          </cell>
        </row>
        <row r="24">
          <cell r="A24" t="str">
            <v>ORD-1023</v>
          </cell>
          <cell r="B24" t="str">
            <v>Apex Living</v>
          </cell>
          <cell r="C24" t="str">
            <v>USB-C Hub 7-in-1</v>
          </cell>
          <cell r="D24" t="str">
            <v>SKU-1003</v>
          </cell>
          <cell r="E24">
            <v>45</v>
          </cell>
          <cell r="G24" t="str">
            <v>ORD-1023</v>
          </cell>
        </row>
        <row r="25">
          <cell r="A25" t="str">
            <v>ORD-1024</v>
          </cell>
          <cell r="B25" t="str">
            <v>Apex Living</v>
          </cell>
          <cell r="C25" t="str">
            <v>Webcam HD 1080p</v>
          </cell>
          <cell r="D25" t="str">
            <v>SKU-1004</v>
          </cell>
          <cell r="E25">
            <v>35</v>
          </cell>
          <cell r="G25" t="str">
            <v>ORD-1024</v>
          </cell>
        </row>
        <row r="26">
          <cell r="A26" t="str">
            <v>ORD-1025</v>
          </cell>
          <cell r="B26" t="str">
            <v>Brightline Retail</v>
          </cell>
          <cell r="C26" t="str">
            <v>Laptop Stand Aluminium</v>
          </cell>
          <cell r="D26" t="str">
            <v>SKU-1005</v>
          </cell>
          <cell r="E26">
            <v>60</v>
          </cell>
          <cell r="G26" t="str">
            <v>ORD-1025</v>
          </cell>
        </row>
      </sheetData>
      <sheetData sheetId="2">
        <row r="2">
          <cell r="D2">
            <v>45</v>
          </cell>
          <cell r="G2" t="str">
            <v>ORD-1001</v>
          </cell>
          <cell r="H2" t="str">
            <v>No</v>
          </cell>
        </row>
        <row r="3">
          <cell r="D3">
            <v>30</v>
          </cell>
          <cell r="G3" t="str">
            <v>ORD-1002</v>
          </cell>
          <cell r="H3" t="str">
            <v>No</v>
          </cell>
        </row>
        <row r="4">
          <cell r="D4">
            <v>75</v>
          </cell>
          <cell r="G4" t="str">
            <v>ORD-1003</v>
          </cell>
          <cell r="H4" t="str">
            <v>No</v>
          </cell>
        </row>
        <row r="5">
          <cell r="D5">
            <v>20</v>
          </cell>
          <cell r="G5" t="str">
            <v>ORD-1004</v>
          </cell>
          <cell r="H5" t="str">
            <v>Yes</v>
          </cell>
        </row>
        <row r="6">
          <cell r="D6">
            <v>20</v>
          </cell>
          <cell r="G6" t="str">
            <v>ORD-1004</v>
          </cell>
          <cell r="H6" t="str">
            <v>Yes</v>
          </cell>
        </row>
        <row r="7">
          <cell r="D7">
            <v>40</v>
          </cell>
          <cell r="G7" t="str">
            <v>ORD-1005</v>
          </cell>
          <cell r="H7" t="str">
            <v>No</v>
          </cell>
        </row>
        <row r="8">
          <cell r="D8">
            <v>12</v>
          </cell>
          <cell r="G8" t="str">
            <v>ORD-1006</v>
          </cell>
          <cell r="H8" t="str">
            <v>No</v>
          </cell>
        </row>
        <row r="9">
          <cell r="D9">
            <v>60</v>
          </cell>
          <cell r="G9" t="str">
            <v>ORD-1007</v>
          </cell>
          <cell r="H9" t="str">
            <v>No</v>
          </cell>
        </row>
        <row r="10">
          <cell r="D10">
            <v>100</v>
          </cell>
          <cell r="G10" t="str">
            <v>ORD-1008</v>
          </cell>
          <cell r="H10" t="str">
            <v>No</v>
          </cell>
        </row>
        <row r="11">
          <cell r="D11">
            <v>25</v>
          </cell>
          <cell r="G11" t="str">
            <v>ORD-1010</v>
          </cell>
          <cell r="H11" t="str">
            <v>No</v>
          </cell>
        </row>
        <row r="12">
          <cell r="D12">
            <v>35</v>
          </cell>
          <cell r="G12" t="str">
            <v>ORD-1011</v>
          </cell>
          <cell r="H12" t="str">
            <v>No</v>
          </cell>
        </row>
        <row r="13">
          <cell r="D13">
            <v>20</v>
          </cell>
          <cell r="G13" t="str">
            <v>ORD-1012</v>
          </cell>
          <cell r="H13" t="str">
            <v>No</v>
          </cell>
        </row>
        <row r="14">
          <cell r="D14">
            <v>50</v>
          </cell>
          <cell r="G14" t="str">
            <v>ORD-1013</v>
          </cell>
          <cell r="H14" t="str">
            <v>No</v>
          </cell>
        </row>
        <row r="15">
          <cell r="D15">
            <v>30</v>
          </cell>
          <cell r="G15" t="str">
            <v>ORD-1014</v>
          </cell>
          <cell r="H15" t="str">
            <v>No</v>
          </cell>
        </row>
        <row r="16">
          <cell r="D16">
            <v>65</v>
          </cell>
          <cell r="G16" t="str">
            <v>ORD-1015</v>
          </cell>
          <cell r="H16" t="str">
            <v>No</v>
          </cell>
        </row>
        <row r="17">
          <cell r="D17">
            <v>10</v>
          </cell>
          <cell r="G17" t="str">
            <v>ORD-1016</v>
          </cell>
          <cell r="H17" t="str">
            <v>No</v>
          </cell>
        </row>
        <row r="18">
          <cell r="D18">
            <v>80</v>
          </cell>
          <cell r="G18" t="str">
            <v>ORD-1018</v>
          </cell>
          <cell r="H18" t="str">
            <v>No</v>
          </cell>
        </row>
        <row r="19">
          <cell r="D19">
            <v>40</v>
          </cell>
          <cell r="G19" t="str">
            <v>ORD-1019</v>
          </cell>
          <cell r="H19" t="str">
            <v>No</v>
          </cell>
        </row>
        <row r="20">
          <cell r="D20">
            <v>20</v>
          </cell>
          <cell r="G20" t="str">
            <v>ORD-1020</v>
          </cell>
          <cell r="H20" t="str">
            <v>No</v>
          </cell>
        </row>
        <row r="21">
          <cell r="D21">
            <v>70</v>
          </cell>
          <cell r="G21" t="str">
            <v>ORD-1021</v>
          </cell>
          <cell r="H21" t="str">
            <v>No</v>
          </cell>
        </row>
        <row r="22">
          <cell r="D22">
            <v>25</v>
          </cell>
          <cell r="G22" t="str">
            <v>ORD-1022</v>
          </cell>
          <cell r="H22" t="str">
            <v>No</v>
          </cell>
        </row>
        <row r="23">
          <cell r="D23">
            <v>45</v>
          </cell>
          <cell r="G23" t="str">
            <v>ORD-1023</v>
          </cell>
          <cell r="H23" t="str">
            <v>No</v>
          </cell>
        </row>
        <row r="24">
          <cell r="D24">
            <v>30</v>
          </cell>
          <cell r="G24" t="str">
            <v>ORD-1024</v>
          </cell>
          <cell r="H24" t="str">
            <v>No</v>
          </cell>
        </row>
        <row r="25">
          <cell r="D25">
            <v>60</v>
          </cell>
          <cell r="G25" t="str">
            <v>ORD-1025</v>
          </cell>
          <cell r="H25" t="str">
            <v>No</v>
          </cell>
        </row>
      </sheetData>
      <sheetData sheetId="3">
        <row r="2">
          <cell r="D2">
            <v>50</v>
          </cell>
          <cell r="F2" t="str">
            <v>ORD-1001</v>
          </cell>
        </row>
        <row r="3">
          <cell r="D3">
            <v>28</v>
          </cell>
          <cell r="F3" t="str">
            <v>ORD-1002</v>
          </cell>
        </row>
        <row r="4">
          <cell r="D4">
            <v>75</v>
          </cell>
          <cell r="F4" t="str">
            <v>ORD-1003</v>
          </cell>
        </row>
        <row r="5">
          <cell r="D5">
            <v>20</v>
          </cell>
          <cell r="F5" t="str">
            <v>ORD-1004</v>
          </cell>
        </row>
        <row r="6">
          <cell r="D6">
            <v>40</v>
          </cell>
          <cell r="F6" t="str">
            <v>ORD-1005</v>
          </cell>
        </row>
        <row r="7">
          <cell r="D7">
            <v>15</v>
          </cell>
          <cell r="F7" t="str">
            <v>ORD-1006</v>
          </cell>
        </row>
        <row r="8">
          <cell r="D8">
            <v>60</v>
          </cell>
          <cell r="F8" t="str">
            <v>ORD-1007</v>
          </cell>
        </row>
        <row r="9">
          <cell r="D9">
            <v>90</v>
          </cell>
          <cell r="F9" t="str">
            <v>ORD-1008</v>
          </cell>
        </row>
        <row r="10">
          <cell r="D10">
            <v>45</v>
          </cell>
          <cell r="F10" t="str">
            <v>ORD-1009</v>
          </cell>
        </row>
        <row r="11">
          <cell r="D11">
            <v>25</v>
          </cell>
          <cell r="F11" t="str">
            <v>ORD-1010</v>
          </cell>
        </row>
        <row r="12">
          <cell r="D12">
            <v>35</v>
          </cell>
          <cell r="F12" t="str">
            <v>ORD-1011</v>
          </cell>
        </row>
        <row r="13">
          <cell r="D13">
            <v>20</v>
          </cell>
          <cell r="F13" t="str">
            <v>ORD-1012</v>
          </cell>
        </row>
        <row r="14">
          <cell r="D14">
            <v>55</v>
          </cell>
          <cell r="F14" t="str">
            <v>ORD-1013</v>
          </cell>
        </row>
        <row r="15">
          <cell r="D15">
            <v>30</v>
          </cell>
          <cell r="F15" t="str">
            <v>ORD-1014</v>
          </cell>
        </row>
        <row r="16">
          <cell r="D16">
            <v>65</v>
          </cell>
          <cell r="F16" t="str">
            <v>ORD-1015</v>
          </cell>
        </row>
        <row r="17">
          <cell r="D17">
            <v>8</v>
          </cell>
          <cell r="F17" t="str">
            <v>ORD-1016</v>
          </cell>
        </row>
        <row r="18">
          <cell r="D18">
            <v>50</v>
          </cell>
          <cell r="F18" t="str">
            <v>ORD-1017</v>
          </cell>
        </row>
        <row r="19">
          <cell r="D19">
            <v>80</v>
          </cell>
          <cell r="F19" t="str">
            <v>ORD-1018</v>
          </cell>
        </row>
        <row r="20">
          <cell r="D20">
            <v>15</v>
          </cell>
          <cell r="F20" t="str">
            <v>ORD-1020</v>
          </cell>
        </row>
        <row r="21">
          <cell r="D21">
            <v>70</v>
          </cell>
          <cell r="F21" t="str">
            <v>ORD-1021</v>
          </cell>
        </row>
        <row r="22">
          <cell r="D22">
            <v>25</v>
          </cell>
          <cell r="F22" t="str">
            <v>ORD-1022</v>
          </cell>
        </row>
        <row r="23">
          <cell r="D23">
            <v>40</v>
          </cell>
          <cell r="F23" t="str">
            <v>ORD-1023</v>
          </cell>
        </row>
        <row r="24">
          <cell r="D24">
            <v>35</v>
          </cell>
          <cell r="F24" t="str">
            <v>ORD-1024</v>
          </cell>
        </row>
        <row r="25">
          <cell r="D25">
            <v>60</v>
          </cell>
          <cell r="F25" t="str">
            <v>ORD-1025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2ECF-8F1D-4EFE-81D2-965DDAFB9CAE}">
  <dimension ref="A1:H28"/>
  <sheetViews>
    <sheetView zoomScale="77" zoomScaleNormal="112" workbookViewId="0">
      <selection activeCell="G16" sqref="G16"/>
    </sheetView>
  </sheetViews>
  <sheetFormatPr defaultRowHeight="14.4" x14ac:dyDescent="0.3"/>
  <cols>
    <col min="1" max="1" width="15" bestFit="1" customWidth="1"/>
    <col min="2" max="2" width="29.5546875" bestFit="1" customWidth="1"/>
    <col min="3" max="3" width="17.77734375" bestFit="1" customWidth="1"/>
    <col min="4" max="4" width="20.109375" bestFit="1" customWidth="1"/>
    <col min="5" max="5" width="24.77734375" bestFit="1" customWidth="1"/>
    <col min="6" max="6" width="31.5546875" bestFit="1" customWidth="1"/>
    <col min="7" max="7" width="17.33203125" bestFit="1" customWidth="1"/>
    <col min="8" max="8" width="26.109375" bestFit="1" customWidth="1"/>
  </cols>
  <sheetData>
    <row r="1" spans="1:8" s="2" customFormat="1" ht="25.05" customHeight="1" x14ac:dyDescent="0.3">
      <c r="A1" s="23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3" t="s">
        <v>5</v>
      </c>
      <c r="G1" s="23" t="s">
        <v>77</v>
      </c>
      <c r="H1" s="23" t="s">
        <v>78</v>
      </c>
    </row>
    <row r="2" spans="1:8" x14ac:dyDescent="0.3">
      <c r="A2" s="3" t="s">
        <v>6</v>
      </c>
      <c r="B2" s="3" t="s">
        <v>7</v>
      </c>
      <c r="C2" s="3" t="s">
        <v>8</v>
      </c>
      <c r="D2" s="3">
        <v>45</v>
      </c>
      <c r="E2" s="14">
        <v>46148</v>
      </c>
      <c r="F2" s="3" t="s">
        <v>9</v>
      </c>
      <c r="G2" s="4" t="str">
        <f>TRIM(UPPER(A2))</f>
        <v>ORD-1001</v>
      </c>
      <c r="H2" s="4" t="str">
        <f>IF(COUNTIF($G$2:$G$25,G2)&gt;1,"Yes","No")</f>
        <v>No</v>
      </c>
    </row>
    <row r="3" spans="1:8" x14ac:dyDescent="0.3">
      <c r="A3" s="3" t="s">
        <v>10</v>
      </c>
      <c r="B3" s="3" t="s">
        <v>11</v>
      </c>
      <c r="C3" s="3" t="s">
        <v>12</v>
      </c>
      <c r="D3" s="3">
        <v>30</v>
      </c>
      <c r="E3" s="14">
        <v>46148</v>
      </c>
      <c r="F3" s="3"/>
      <c r="G3" s="4" t="str">
        <f t="shared" ref="G3:G25" si="0">TRIM(UPPER(A3))</f>
        <v>ORD-1002</v>
      </c>
      <c r="H3" s="4" t="str">
        <f>IF(COUNTIF($G$2:$G$25,G3)&gt;1,"Yes","No")</f>
        <v>No</v>
      </c>
    </row>
    <row r="4" spans="1:8" x14ac:dyDescent="0.3">
      <c r="A4" s="3" t="s">
        <v>13</v>
      </c>
      <c r="B4" s="3" t="s">
        <v>14</v>
      </c>
      <c r="C4" s="3" t="s">
        <v>15</v>
      </c>
      <c r="D4" s="3">
        <v>75</v>
      </c>
      <c r="E4" s="14">
        <v>46149</v>
      </c>
      <c r="F4" s="3"/>
      <c r="G4" s="4" t="str">
        <f t="shared" si="0"/>
        <v>ORD-1003</v>
      </c>
      <c r="H4" s="4" t="str">
        <f>IF(COUNTIF($G$2:$G$25,G4)&gt;1,"Yes","No")</f>
        <v>No</v>
      </c>
    </row>
    <row r="5" spans="1:8" x14ac:dyDescent="0.3">
      <c r="A5" s="3" t="s">
        <v>16</v>
      </c>
      <c r="B5" s="3" t="s">
        <v>17</v>
      </c>
      <c r="C5" s="3" t="s">
        <v>18</v>
      </c>
      <c r="D5" s="3">
        <v>20</v>
      </c>
      <c r="E5" s="14">
        <v>46149</v>
      </c>
      <c r="F5" s="3"/>
      <c r="G5" s="4" t="str">
        <f t="shared" si="0"/>
        <v>ORD-1004</v>
      </c>
      <c r="H5" s="4" t="str">
        <f>IF(COUNTIF($G$2:$G$25,G5)&gt;1,"Yes","No")</f>
        <v>Yes</v>
      </c>
    </row>
    <row r="6" spans="1:8" x14ac:dyDescent="0.3">
      <c r="A6" s="3" t="s">
        <v>16</v>
      </c>
      <c r="B6" s="3" t="s">
        <v>17</v>
      </c>
      <c r="C6" s="3" t="s">
        <v>18</v>
      </c>
      <c r="D6" s="3">
        <v>20</v>
      </c>
      <c r="E6" s="14">
        <v>46149</v>
      </c>
      <c r="F6" s="3" t="s">
        <v>19</v>
      </c>
      <c r="G6" s="4" t="str">
        <f t="shared" si="0"/>
        <v>ORD-1004</v>
      </c>
      <c r="H6" s="4" t="str">
        <f>IF(COUNTIF($G$2:$G$25,G6)&gt;1,"Yes","No")</f>
        <v>Yes</v>
      </c>
    </row>
    <row r="7" spans="1:8" x14ac:dyDescent="0.3">
      <c r="A7" s="3" t="s">
        <v>20</v>
      </c>
      <c r="B7" s="3" t="s">
        <v>21</v>
      </c>
      <c r="C7" s="3" t="s">
        <v>22</v>
      </c>
      <c r="D7" s="3">
        <v>40</v>
      </c>
      <c r="E7" s="14">
        <v>46149</v>
      </c>
      <c r="F7" s="3"/>
      <c r="G7" s="4" t="str">
        <f t="shared" si="0"/>
        <v>ORD-1005</v>
      </c>
      <c r="H7" s="4" t="str">
        <f>IF(COUNTIF($G$2:$G$25,G7)&gt;1,"Yes","No")</f>
        <v>No</v>
      </c>
    </row>
    <row r="8" spans="1:8" x14ac:dyDescent="0.3">
      <c r="A8" s="3" t="s">
        <v>23</v>
      </c>
      <c r="B8" s="3" t="s">
        <v>24</v>
      </c>
      <c r="C8" s="3" t="s">
        <v>25</v>
      </c>
      <c r="D8" s="3">
        <v>12</v>
      </c>
      <c r="E8" s="14">
        <v>46149</v>
      </c>
      <c r="F8" s="3" t="s">
        <v>26</v>
      </c>
      <c r="G8" s="4" t="str">
        <f t="shared" si="0"/>
        <v>ORD-1006</v>
      </c>
      <c r="H8" s="4" t="str">
        <f>IF(COUNTIF($G$2:$G$25,G8)&gt;1,"Yes","No")</f>
        <v>No</v>
      </c>
    </row>
    <row r="9" spans="1:8" x14ac:dyDescent="0.3">
      <c r="A9" s="3" t="s">
        <v>27</v>
      </c>
      <c r="B9" s="3" t="s">
        <v>28</v>
      </c>
      <c r="C9" s="3" t="s">
        <v>29</v>
      </c>
      <c r="D9" s="3">
        <v>60</v>
      </c>
      <c r="E9" s="14">
        <v>46151</v>
      </c>
      <c r="F9" s="3"/>
      <c r="G9" s="4" t="str">
        <f t="shared" si="0"/>
        <v>ORD-1007</v>
      </c>
      <c r="H9" s="4" t="str">
        <f>IF(COUNTIF($G$2:$G$25,G9)&gt;1,"Yes","No")</f>
        <v>No</v>
      </c>
    </row>
    <row r="10" spans="1:8" x14ac:dyDescent="0.3">
      <c r="A10" s="3" t="s">
        <v>30</v>
      </c>
      <c r="B10" s="3" t="s">
        <v>31</v>
      </c>
      <c r="C10" s="3" t="s">
        <v>32</v>
      </c>
      <c r="D10" s="3">
        <v>100</v>
      </c>
      <c r="E10" s="14">
        <v>46151</v>
      </c>
      <c r="F10" s="3"/>
      <c r="G10" s="4" t="str">
        <f t="shared" si="0"/>
        <v>ORD-1008</v>
      </c>
      <c r="H10" s="4" t="str">
        <f>IF(COUNTIF($G$2:$G$25,G10)&gt;1,"Yes","No")</f>
        <v>No</v>
      </c>
    </row>
    <row r="11" spans="1:8" x14ac:dyDescent="0.3">
      <c r="A11" s="3" t="s">
        <v>33</v>
      </c>
      <c r="B11" s="3" t="s">
        <v>34</v>
      </c>
      <c r="C11" s="3" t="s">
        <v>35</v>
      </c>
      <c r="D11" s="3">
        <v>25</v>
      </c>
      <c r="E11" s="14">
        <v>46152</v>
      </c>
      <c r="F11" s="3"/>
      <c r="G11" s="4" t="str">
        <f t="shared" si="0"/>
        <v>ORD-1010</v>
      </c>
      <c r="H11" s="4" t="str">
        <f>IF(COUNTIF($G$2:$G$25,G11)&gt;1,"Yes","No")</f>
        <v>No</v>
      </c>
    </row>
    <row r="12" spans="1:8" x14ac:dyDescent="0.3">
      <c r="A12" s="3" t="s">
        <v>36</v>
      </c>
      <c r="B12" s="3" t="s">
        <v>7</v>
      </c>
      <c r="C12" s="3" t="s">
        <v>8</v>
      </c>
      <c r="D12" s="3">
        <v>35</v>
      </c>
      <c r="E12" s="14">
        <v>46153</v>
      </c>
      <c r="F12" s="3"/>
      <c r="G12" s="4" t="str">
        <f t="shared" si="0"/>
        <v>ORD-1011</v>
      </c>
      <c r="H12" s="4" t="str">
        <f>IF(COUNTIF($G$2:$G$25,G12)&gt;1,"Yes","No")</f>
        <v>No</v>
      </c>
    </row>
    <row r="13" spans="1:8" x14ac:dyDescent="0.3">
      <c r="A13" s="3" t="s">
        <v>37</v>
      </c>
      <c r="B13" s="3" t="s">
        <v>11</v>
      </c>
      <c r="C13" s="3" t="s">
        <v>12</v>
      </c>
      <c r="D13" s="3">
        <v>20</v>
      </c>
      <c r="E13" s="14">
        <v>46153</v>
      </c>
      <c r="F13" s="3"/>
      <c r="G13" s="4" t="str">
        <f t="shared" si="0"/>
        <v>ORD-1012</v>
      </c>
      <c r="H13" s="4" t="str">
        <f>IF(COUNTIF($G$2:$G$25,G13)&gt;1,"Yes","No")</f>
        <v>No</v>
      </c>
    </row>
    <row r="14" spans="1:8" x14ac:dyDescent="0.3">
      <c r="A14" s="3" t="s">
        <v>38</v>
      </c>
      <c r="B14" s="3" t="s">
        <v>14</v>
      </c>
      <c r="C14" s="3" t="s">
        <v>15</v>
      </c>
      <c r="D14" s="3">
        <v>50</v>
      </c>
      <c r="E14" s="14">
        <v>46154</v>
      </c>
      <c r="F14" s="3" t="s">
        <v>39</v>
      </c>
      <c r="G14" s="4" t="str">
        <f t="shared" si="0"/>
        <v>ORD-1013</v>
      </c>
      <c r="H14" s="4" t="str">
        <f>IF(COUNTIF($G$2:$G$25,G14)&gt;1,"Yes","No")</f>
        <v>No</v>
      </c>
    </row>
    <row r="15" spans="1:8" x14ac:dyDescent="0.3">
      <c r="A15" s="3" t="s">
        <v>40</v>
      </c>
      <c r="B15" s="3" t="s">
        <v>17</v>
      </c>
      <c r="C15" s="3" t="s">
        <v>18</v>
      </c>
      <c r="D15" s="3">
        <v>30</v>
      </c>
      <c r="E15" s="14">
        <v>46154</v>
      </c>
      <c r="F15" s="3"/>
      <c r="G15" s="4" t="str">
        <f t="shared" si="0"/>
        <v>ORD-1014</v>
      </c>
      <c r="H15" s="4" t="str">
        <f>IF(COUNTIF($G$2:$G$25,G15)&gt;1,"Yes","No")</f>
        <v>No</v>
      </c>
    </row>
    <row r="16" spans="1:8" x14ac:dyDescent="0.3">
      <c r="A16" s="3" t="s">
        <v>41</v>
      </c>
      <c r="B16" s="3" t="s">
        <v>21</v>
      </c>
      <c r="C16" s="3" t="s">
        <v>22</v>
      </c>
      <c r="D16" s="3">
        <v>65</v>
      </c>
      <c r="E16" s="14">
        <v>46155</v>
      </c>
      <c r="F16" s="3"/>
      <c r="G16" s="4" t="str">
        <f t="shared" si="0"/>
        <v>ORD-1015</v>
      </c>
      <c r="H16" s="4" t="str">
        <f>IF(COUNTIF($G$2:$G$25,G16)&gt;1,"Yes","No")</f>
        <v>No</v>
      </c>
    </row>
    <row r="17" spans="1:8" x14ac:dyDescent="0.3">
      <c r="A17" s="3" t="s">
        <v>42</v>
      </c>
      <c r="B17" s="3" t="s">
        <v>24</v>
      </c>
      <c r="C17" s="3" t="s">
        <v>25</v>
      </c>
      <c r="D17" s="3">
        <v>10</v>
      </c>
      <c r="E17" s="14">
        <v>46155</v>
      </c>
      <c r="F17" s="3"/>
      <c r="G17" s="4" t="str">
        <f t="shared" si="0"/>
        <v>ORD-1016</v>
      </c>
      <c r="H17" s="4" t="str">
        <f>IF(COUNTIF($G$2:$G$25,G17)&gt;1,"Yes","No")</f>
        <v>No</v>
      </c>
    </row>
    <row r="18" spans="1:8" x14ac:dyDescent="0.3">
      <c r="A18" s="3" t="s">
        <v>43</v>
      </c>
      <c r="B18" s="3" t="s">
        <v>31</v>
      </c>
      <c r="C18" s="3" t="s">
        <v>32</v>
      </c>
      <c r="D18" s="3">
        <v>80</v>
      </c>
      <c r="E18" s="14">
        <v>46156</v>
      </c>
      <c r="F18" s="3"/>
      <c r="G18" s="4" t="str">
        <f t="shared" si="0"/>
        <v>ORD-1018</v>
      </c>
      <c r="H18" s="4" t="str">
        <f>IF(COUNTIF($G$2:$G$25,G18)&gt;1,"Yes","No")</f>
        <v>No</v>
      </c>
    </row>
    <row r="19" spans="1:8" x14ac:dyDescent="0.3">
      <c r="A19" s="3" t="s">
        <v>44</v>
      </c>
      <c r="B19" s="3" t="s">
        <v>45</v>
      </c>
      <c r="C19" s="3" t="s">
        <v>46</v>
      </c>
      <c r="D19" s="3">
        <v>40</v>
      </c>
      <c r="E19" s="14">
        <v>46156</v>
      </c>
      <c r="F19" s="3"/>
      <c r="G19" s="4" t="str">
        <f t="shared" si="0"/>
        <v>ORD-1019</v>
      </c>
      <c r="H19" s="4" t="str">
        <f>IF(COUNTIF($G$2:$G$25,G19)&gt;1,"Yes","No")</f>
        <v>No</v>
      </c>
    </row>
    <row r="20" spans="1:8" x14ac:dyDescent="0.3">
      <c r="A20" s="3" t="s">
        <v>47</v>
      </c>
      <c r="B20" s="3" t="s">
        <v>34</v>
      </c>
      <c r="C20" s="3" t="s">
        <v>35</v>
      </c>
      <c r="D20" s="3">
        <v>20</v>
      </c>
      <c r="E20" s="14">
        <v>46157</v>
      </c>
      <c r="F20" s="3" t="s">
        <v>48</v>
      </c>
      <c r="G20" s="4" t="str">
        <f t="shared" si="0"/>
        <v>ORD-1020</v>
      </c>
      <c r="H20" s="4" t="str">
        <f>IF(COUNTIF($G$2:$G$25,G20)&gt;1,"Yes","No")</f>
        <v>No</v>
      </c>
    </row>
    <row r="21" spans="1:8" x14ac:dyDescent="0.3">
      <c r="A21" s="3" t="s">
        <v>49</v>
      </c>
      <c r="B21" s="3" t="s">
        <v>7</v>
      </c>
      <c r="C21" s="3" t="s">
        <v>8</v>
      </c>
      <c r="D21" s="3">
        <v>70</v>
      </c>
      <c r="E21" s="14">
        <v>46158</v>
      </c>
      <c r="F21" s="3"/>
      <c r="G21" s="4" t="str">
        <f t="shared" si="0"/>
        <v>ORD-1021</v>
      </c>
      <c r="H21" s="4" t="str">
        <f>IF(COUNTIF($G$2:$G$25,G21)&gt;1,"Yes","No")</f>
        <v>No</v>
      </c>
    </row>
    <row r="22" spans="1:8" x14ac:dyDescent="0.3">
      <c r="A22" s="3" t="s">
        <v>50</v>
      </c>
      <c r="B22" s="3" t="s">
        <v>11</v>
      </c>
      <c r="C22" s="3" t="s">
        <v>12</v>
      </c>
      <c r="D22" s="3">
        <v>25</v>
      </c>
      <c r="E22" s="14">
        <v>46158</v>
      </c>
      <c r="F22" s="3"/>
      <c r="G22" s="4" t="str">
        <f t="shared" si="0"/>
        <v>ORD-1022</v>
      </c>
      <c r="H22" s="4" t="str">
        <f>IF(COUNTIF($G$2:$G$25,G22)&gt;1,"Yes","No")</f>
        <v>No</v>
      </c>
    </row>
    <row r="23" spans="1:8" x14ac:dyDescent="0.3">
      <c r="A23" s="3" t="s">
        <v>51</v>
      </c>
      <c r="B23" s="3" t="s">
        <v>14</v>
      </c>
      <c r="C23" s="3" t="s">
        <v>15</v>
      </c>
      <c r="D23" s="3">
        <v>45</v>
      </c>
      <c r="E23" s="14">
        <v>46159</v>
      </c>
      <c r="F23" s="3"/>
      <c r="G23" s="4" t="str">
        <f t="shared" si="0"/>
        <v>ORD-1023</v>
      </c>
      <c r="H23" s="4" t="str">
        <f>IF(COUNTIF($G$2:$G$25,G23)&gt;1,"Yes","No")</f>
        <v>No</v>
      </c>
    </row>
    <row r="24" spans="1:8" x14ac:dyDescent="0.3">
      <c r="A24" s="3" t="s">
        <v>52</v>
      </c>
      <c r="B24" s="3" t="s">
        <v>17</v>
      </c>
      <c r="C24" s="3" t="s">
        <v>18</v>
      </c>
      <c r="D24" s="3">
        <v>30</v>
      </c>
      <c r="E24" s="14">
        <v>46159</v>
      </c>
      <c r="F24" s="3" t="s">
        <v>39</v>
      </c>
      <c r="G24" s="4" t="str">
        <f t="shared" si="0"/>
        <v>ORD-1024</v>
      </c>
      <c r="H24" s="4" t="str">
        <f>IF(COUNTIF($G$2:$G$25,G24)&gt;1,"Yes","No")</f>
        <v>No</v>
      </c>
    </row>
    <row r="25" spans="1:8" x14ac:dyDescent="0.3">
      <c r="A25" s="3" t="s">
        <v>53</v>
      </c>
      <c r="B25" s="3" t="s">
        <v>21</v>
      </c>
      <c r="C25" s="3" t="s">
        <v>22</v>
      </c>
      <c r="D25" s="3">
        <v>60</v>
      </c>
      <c r="E25" s="14">
        <v>46159</v>
      </c>
      <c r="F25" s="3"/>
      <c r="G25" s="4" t="str">
        <f t="shared" si="0"/>
        <v>ORD-1025</v>
      </c>
      <c r="H25" s="4" t="str">
        <f>IF(COUNTIF($G$2:$G$25,G25)&gt;1,"Yes","No")</f>
        <v>No</v>
      </c>
    </row>
    <row r="28" spans="1:8" x14ac:dyDescent="0.3">
      <c r="D2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E86D-20DB-469D-A6D0-3FBF0A42F34D}">
  <dimension ref="A1:G26"/>
  <sheetViews>
    <sheetView workbookViewId="0">
      <selection activeCell="B8" sqref="B8"/>
    </sheetView>
  </sheetViews>
  <sheetFormatPr defaultRowHeight="14.4" x14ac:dyDescent="0.3"/>
  <cols>
    <col min="1" max="1" width="10.5546875" bestFit="1" customWidth="1"/>
    <col min="2" max="2" width="15.109375" bestFit="1" customWidth="1"/>
    <col min="3" max="3" width="25.44140625" bestFit="1" customWidth="1"/>
    <col min="4" max="4" width="10.21875" bestFit="1" customWidth="1"/>
    <col min="5" max="5" width="10.77734375" bestFit="1" customWidth="1"/>
    <col min="6" max="6" width="11.21875" bestFit="1" customWidth="1"/>
    <col min="7" max="7" width="9.33203125" bestFit="1" customWidth="1"/>
  </cols>
  <sheetData>
    <row r="1" spans="1:7" ht="25.05" customHeight="1" x14ac:dyDescent="0.3">
      <c r="A1" s="6" t="s">
        <v>69</v>
      </c>
      <c r="B1" s="6" t="s">
        <v>68</v>
      </c>
      <c r="C1" s="6" t="s">
        <v>67</v>
      </c>
      <c r="D1" s="6" t="s">
        <v>66</v>
      </c>
      <c r="E1" s="6" t="s">
        <v>65</v>
      </c>
      <c r="F1" s="12" t="s">
        <v>64</v>
      </c>
      <c r="G1" s="6" t="s">
        <v>77</v>
      </c>
    </row>
    <row r="2" spans="1:7" x14ac:dyDescent="0.3">
      <c r="A2" s="7" t="s">
        <v>6</v>
      </c>
      <c r="B2" s="7" t="s">
        <v>54</v>
      </c>
      <c r="C2" s="7" t="s">
        <v>7</v>
      </c>
      <c r="D2" s="7" t="s">
        <v>8</v>
      </c>
      <c r="E2" s="7">
        <v>50</v>
      </c>
      <c r="F2" s="13">
        <v>46143</v>
      </c>
      <c r="G2" s="9" t="str">
        <f>TRIM(UPPER(A2))</f>
        <v>ORD-1001</v>
      </c>
    </row>
    <row r="3" spans="1:7" x14ac:dyDescent="0.3">
      <c r="A3" s="7" t="s">
        <v>63</v>
      </c>
      <c r="B3" s="7" t="s">
        <v>54</v>
      </c>
      <c r="C3" s="7" t="s">
        <v>11</v>
      </c>
      <c r="D3" s="7" t="s">
        <v>12</v>
      </c>
      <c r="E3" s="7">
        <v>30</v>
      </c>
      <c r="F3" s="13">
        <v>46143</v>
      </c>
      <c r="G3" s="9" t="str">
        <f t="shared" ref="G3:G26" si="0">TRIM(UPPER(A3))</f>
        <v>ORD-1002</v>
      </c>
    </row>
    <row r="4" spans="1:7" x14ac:dyDescent="0.3">
      <c r="A4" s="7" t="s">
        <v>13</v>
      </c>
      <c r="B4" s="7" t="s">
        <v>56</v>
      </c>
      <c r="C4" s="7" t="s">
        <v>14</v>
      </c>
      <c r="D4" s="7" t="s">
        <v>15</v>
      </c>
      <c r="E4" s="7">
        <v>75</v>
      </c>
      <c r="F4" s="13">
        <v>46144</v>
      </c>
      <c r="G4" s="9" t="str">
        <f t="shared" si="0"/>
        <v>ORD-1003</v>
      </c>
    </row>
    <row r="5" spans="1:7" x14ac:dyDescent="0.3">
      <c r="A5" s="7" t="s">
        <v>16</v>
      </c>
      <c r="B5" s="7" t="s">
        <v>56</v>
      </c>
      <c r="C5" s="7" t="s">
        <v>17</v>
      </c>
      <c r="D5" s="7" t="s">
        <v>18</v>
      </c>
      <c r="E5" s="7">
        <v>20</v>
      </c>
      <c r="F5" s="13">
        <v>46144</v>
      </c>
      <c r="G5" s="9" t="str">
        <f t="shared" si="0"/>
        <v>ORD-1004</v>
      </c>
    </row>
    <row r="6" spans="1:7" x14ac:dyDescent="0.3">
      <c r="A6" s="7" t="s">
        <v>62</v>
      </c>
      <c r="B6" s="7" t="s">
        <v>55</v>
      </c>
      <c r="C6" s="7" t="s">
        <v>21</v>
      </c>
      <c r="D6" s="7" t="s">
        <v>22</v>
      </c>
      <c r="E6" s="7">
        <v>40</v>
      </c>
      <c r="F6" s="13">
        <v>46145</v>
      </c>
      <c r="G6" s="9" t="str">
        <f t="shared" si="0"/>
        <v>ORD-1005</v>
      </c>
    </row>
    <row r="7" spans="1:7" x14ac:dyDescent="0.3">
      <c r="A7" s="7" t="s">
        <v>23</v>
      </c>
      <c r="B7" s="7" t="s">
        <v>55</v>
      </c>
      <c r="C7" s="7" t="s">
        <v>24</v>
      </c>
      <c r="D7" s="7" t="s">
        <v>25</v>
      </c>
      <c r="E7" s="7">
        <v>15</v>
      </c>
      <c r="F7" s="13">
        <v>46145</v>
      </c>
      <c r="G7" s="9" t="str">
        <f t="shared" si="0"/>
        <v>ORD-1006</v>
      </c>
    </row>
    <row r="8" spans="1:7" x14ac:dyDescent="0.3">
      <c r="A8" s="7" t="s">
        <v>27</v>
      </c>
      <c r="B8" s="7" t="s">
        <v>54</v>
      </c>
      <c r="C8" s="7" t="s">
        <v>28</v>
      </c>
      <c r="D8" s="7" t="s">
        <v>29</v>
      </c>
      <c r="E8" s="7">
        <v>60</v>
      </c>
      <c r="F8" s="13">
        <v>46146</v>
      </c>
      <c r="G8" s="9" t="str">
        <f t="shared" si="0"/>
        <v>ORD-1007</v>
      </c>
    </row>
    <row r="9" spans="1:7" x14ac:dyDescent="0.3">
      <c r="A9" s="7" t="s">
        <v>30</v>
      </c>
      <c r="B9" s="7" t="s">
        <v>54</v>
      </c>
      <c r="C9" s="7" t="s">
        <v>31</v>
      </c>
      <c r="D9" s="7" t="s">
        <v>32</v>
      </c>
      <c r="E9" s="7">
        <v>100</v>
      </c>
      <c r="F9" s="13">
        <v>46146</v>
      </c>
      <c r="G9" s="9" t="str">
        <f t="shared" si="0"/>
        <v>ORD-1008</v>
      </c>
    </row>
    <row r="10" spans="1:7" x14ac:dyDescent="0.3">
      <c r="A10" s="7" t="s">
        <v>61</v>
      </c>
      <c r="B10" s="7" t="s">
        <v>56</v>
      </c>
      <c r="C10" s="7" t="s">
        <v>45</v>
      </c>
      <c r="D10" s="7" t="s">
        <v>46</v>
      </c>
      <c r="E10" s="7">
        <v>45</v>
      </c>
      <c r="F10" s="13">
        <v>46147</v>
      </c>
      <c r="G10" s="9" t="str">
        <f t="shared" si="0"/>
        <v>ORD-1009</v>
      </c>
    </row>
    <row r="11" spans="1:7" x14ac:dyDescent="0.3">
      <c r="A11" s="7" t="s">
        <v>33</v>
      </c>
      <c r="B11" s="7" t="s">
        <v>56</v>
      </c>
      <c r="C11" s="7" t="s">
        <v>34</v>
      </c>
      <c r="D11" s="7" t="s">
        <v>35</v>
      </c>
      <c r="E11" s="7">
        <v>25</v>
      </c>
      <c r="F11" s="13">
        <v>46147</v>
      </c>
      <c r="G11" s="9" t="str">
        <f t="shared" si="0"/>
        <v>ORD-1010</v>
      </c>
    </row>
    <row r="12" spans="1:7" x14ac:dyDescent="0.3">
      <c r="A12" s="7" t="s">
        <v>36</v>
      </c>
      <c r="B12" s="7" t="s">
        <v>55</v>
      </c>
      <c r="C12" s="7" t="s">
        <v>7</v>
      </c>
      <c r="D12" s="7" t="s">
        <v>8</v>
      </c>
      <c r="E12" s="7">
        <v>35</v>
      </c>
      <c r="F12" s="13">
        <v>46148</v>
      </c>
      <c r="G12" s="9" t="str">
        <f t="shared" si="0"/>
        <v>ORD-1011</v>
      </c>
    </row>
    <row r="13" spans="1:7" x14ac:dyDescent="0.3">
      <c r="A13" s="7" t="s">
        <v>60</v>
      </c>
      <c r="B13" s="7" t="s">
        <v>55</v>
      </c>
      <c r="C13" s="7" t="s">
        <v>11</v>
      </c>
      <c r="D13" s="7" t="s">
        <v>12</v>
      </c>
      <c r="E13" s="7">
        <v>20</v>
      </c>
      <c r="F13" s="13">
        <v>46148</v>
      </c>
      <c r="G13" s="9" t="str">
        <f t="shared" si="0"/>
        <v>ORD-1012</v>
      </c>
    </row>
    <row r="14" spans="1:7" x14ac:dyDescent="0.3">
      <c r="A14" s="7" t="s">
        <v>38</v>
      </c>
      <c r="B14" s="7" t="s">
        <v>54</v>
      </c>
      <c r="C14" s="7" t="s">
        <v>14</v>
      </c>
      <c r="D14" s="7" t="s">
        <v>15</v>
      </c>
      <c r="E14" s="7">
        <v>55</v>
      </c>
      <c r="F14" s="13">
        <v>46149</v>
      </c>
      <c r="G14" s="9" t="str">
        <f t="shared" si="0"/>
        <v>ORD-1013</v>
      </c>
    </row>
    <row r="15" spans="1:7" x14ac:dyDescent="0.3">
      <c r="A15" s="7" t="s">
        <v>40</v>
      </c>
      <c r="B15" s="7" t="s">
        <v>54</v>
      </c>
      <c r="C15" s="7" t="s">
        <v>17</v>
      </c>
      <c r="D15" s="7" t="s">
        <v>18</v>
      </c>
      <c r="E15" s="7">
        <v>30</v>
      </c>
      <c r="F15" s="13">
        <v>46149</v>
      </c>
      <c r="G15" s="9" t="str">
        <f t="shared" si="0"/>
        <v>ORD-1014</v>
      </c>
    </row>
    <row r="16" spans="1:7" x14ac:dyDescent="0.3">
      <c r="A16" s="7" t="s">
        <v>41</v>
      </c>
      <c r="B16" s="7" t="s">
        <v>56</v>
      </c>
      <c r="C16" s="7" t="s">
        <v>21</v>
      </c>
      <c r="D16" s="7" t="s">
        <v>22</v>
      </c>
      <c r="E16" s="7">
        <v>65</v>
      </c>
      <c r="F16" s="13">
        <v>46150</v>
      </c>
      <c r="G16" s="9" t="str">
        <f t="shared" si="0"/>
        <v>ORD-1015</v>
      </c>
    </row>
    <row r="17" spans="1:7" x14ac:dyDescent="0.3">
      <c r="A17" s="7" t="s">
        <v>42</v>
      </c>
      <c r="B17" s="7" t="s">
        <v>56</v>
      </c>
      <c r="C17" s="7" t="s">
        <v>24</v>
      </c>
      <c r="D17" s="7" t="s">
        <v>25</v>
      </c>
      <c r="E17" s="7">
        <v>10</v>
      </c>
      <c r="F17" s="13">
        <v>46150</v>
      </c>
      <c r="G17" s="9" t="str">
        <f t="shared" si="0"/>
        <v>ORD-1016</v>
      </c>
    </row>
    <row r="18" spans="1:7" x14ac:dyDescent="0.3">
      <c r="A18" s="7" t="s">
        <v>59</v>
      </c>
      <c r="B18" s="7" t="s">
        <v>55</v>
      </c>
      <c r="C18" s="7" t="s">
        <v>28</v>
      </c>
      <c r="D18" s="7" t="s">
        <v>29</v>
      </c>
      <c r="E18" s="7">
        <v>50</v>
      </c>
      <c r="F18" s="13">
        <v>46151</v>
      </c>
      <c r="G18" s="9" t="str">
        <f t="shared" si="0"/>
        <v>ORD-1017</v>
      </c>
    </row>
    <row r="19" spans="1:7" x14ac:dyDescent="0.3">
      <c r="A19" s="7" t="s">
        <v>58</v>
      </c>
      <c r="B19" s="7" t="s">
        <v>55</v>
      </c>
      <c r="C19" s="7" t="s">
        <v>31</v>
      </c>
      <c r="D19" s="7" t="s">
        <v>32</v>
      </c>
      <c r="E19" s="7">
        <v>80</v>
      </c>
      <c r="F19" s="13">
        <v>46151</v>
      </c>
      <c r="G19" s="9" t="str">
        <f t="shared" si="0"/>
        <v>ORD-1018</v>
      </c>
    </row>
    <row r="20" spans="1:7" x14ac:dyDescent="0.3">
      <c r="A20" s="7" t="s">
        <v>44</v>
      </c>
      <c r="B20" s="7" t="s">
        <v>54</v>
      </c>
      <c r="C20" s="7" t="s">
        <v>45</v>
      </c>
      <c r="D20" s="7" t="s">
        <v>46</v>
      </c>
      <c r="E20" s="7">
        <v>40</v>
      </c>
      <c r="F20" s="13">
        <v>46152</v>
      </c>
      <c r="G20" s="9" t="str">
        <f t="shared" si="0"/>
        <v>ORD-1019</v>
      </c>
    </row>
    <row r="21" spans="1:7" x14ac:dyDescent="0.3">
      <c r="A21" s="7" t="s">
        <v>47</v>
      </c>
      <c r="B21" s="7" t="s">
        <v>54</v>
      </c>
      <c r="C21" s="7" t="s">
        <v>34</v>
      </c>
      <c r="D21" s="7" t="s">
        <v>35</v>
      </c>
      <c r="E21" s="7">
        <v>15</v>
      </c>
      <c r="F21" s="13">
        <v>46152</v>
      </c>
      <c r="G21" s="9" t="str">
        <f t="shared" si="0"/>
        <v>ORD-1020</v>
      </c>
    </row>
    <row r="22" spans="1:7" x14ac:dyDescent="0.3">
      <c r="A22" s="7" t="s">
        <v>49</v>
      </c>
      <c r="B22" s="7" t="s">
        <v>56</v>
      </c>
      <c r="C22" s="7" t="s">
        <v>7</v>
      </c>
      <c r="D22" s="7" t="s">
        <v>8</v>
      </c>
      <c r="E22" s="7">
        <v>70</v>
      </c>
      <c r="F22" s="13">
        <v>46153</v>
      </c>
      <c r="G22" s="9" t="str">
        <f t="shared" si="0"/>
        <v>ORD-1021</v>
      </c>
    </row>
    <row r="23" spans="1:7" x14ac:dyDescent="0.3">
      <c r="A23" s="7" t="s">
        <v>57</v>
      </c>
      <c r="B23" s="7" t="s">
        <v>56</v>
      </c>
      <c r="C23" s="7" t="s">
        <v>11</v>
      </c>
      <c r="D23" s="7" t="s">
        <v>12</v>
      </c>
      <c r="E23" s="7">
        <v>25</v>
      </c>
      <c r="F23" s="13">
        <v>46153</v>
      </c>
      <c r="G23" s="9" t="str">
        <f t="shared" si="0"/>
        <v>ORD-1022</v>
      </c>
    </row>
    <row r="24" spans="1:7" x14ac:dyDescent="0.3">
      <c r="A24" s="7" t="s">
        <v>51</v>
      </c>
      <c r="B24" s="7" t="s">
        <v>55</v>
      </c>
      <c r="C24" s="7" t="s">
        <v>14</v>
      </c>
      <c r="D24" s="7" t="s">
        <v>15</v>
      </c>
      <c r="E24" s="7">
        <v>45</v>
      </c>
      <c r="F24" s="13">
        <v>46154</v>
      </c>
      <c r="G24" s="9" t="str">
        <f t="shared" si="0"/>
        <v>ORD-1023</v>
      </c>
    </row>
    <row r="25" spans="1:7" x14ac:dyDescent="0.3">
      <c r="A25" s="7" t="s">
        <v>52</v>
      </c>
      <c r="B25" s="7" t="s">
        <v>55</v>
      </c>
      <c r="C25" s="7" t="s">
        <v>17</v>
      </c>
      <c r="D25" s="7" t="s">
        <v>18</v>
      </c>
      <c r="E25" s="7">
        <v>35</v>
      </c>
      <c r="F25" s="13">
        <v>46154</v>
      </c>
      <c r="G25" s="9" t="str">
        <f t="shared" si="0"/>
        <v>ORD-1024</v>
      </c>
    </row>
    <row r="26" spans="1:7" x14ac:dyDescent="0.3">
      <c r="A26" s="7" t="s">
        <v>53</v>
      </c>
      <c r="B26" s="7" t="s">
        <v>54</v>
      </c>
      <c r="C26" s="7" t="s">
        <v>21</v>
      </c>
      <c r="D26" s="7" t="s">
        <v>22</v>
      </c>
      <c r="E26" s="7">
        <v>60</v>
      </c>
      <c r="F26" s="13">
        <v>46155</v>
      </c>
      <c r="G26" s="9" t="str">
        <f t="shared" si="0"/>
        <v>ORD-1025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3937-66A3-4751-97FC-2708CBF1E811}">
  <dimension ref="A1:H36"/>
  <sheetViews>
    <sheetView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25.44140625" bestFit="1" customWidth="1"/>
    <col min="3" max="3" width="10.21875" bestFit="1" customWidth="1"/>
    <col min="4" max="4" width="13.21875" bestFit="1" customWidth="1"/>
    <col min="5" max="5" width="12.21875" style="11" bestFit="1" customWidth="1"/>
    <col min="6" max="6" width="10.5546875" bestFit="1" customWidth="1"/>
  </cols>
  <sheetData>
    <row r="1" spans="1:8" ht="14.4" customHeight="1" x14ac:dyDescent="0.3">
      <c r="A1" s="21" t="s">
        <v>76</v>
      </c>
      <c r="B1" s="21" t="s">
        <v>75</v>
      </c>
      <c r="C1" s="21" t="s">
        <v>66</v>
      </c>
      <c r="D1" s="21" t="s">
        <v>74</v>
      </c>
      <c r="E1" s="22" t="s">
        <v>73</v>
      </c>
      <c r="F1" s="21" t="s">
        <v>77</v>
      </c>
    </row>
    <row r="2" spans="1:8" ht="14.4" customHeight="1" x14ac:dyDescent="0.3">
      <c r="A2" s="7" t="s">
        <v>6</v>
      </c>
      <c r="B2" s="7" t="s">
        <v>72</v>
      </c>
      <c r="C2" s="7" t="s">
        <v>8</v>
      </c>
      <c r="D2" s="7">
        <v>50</v>
      </c>
      <c r="E2" s="13">
        <v>46145</v>
      </c>
      <c r="F2" s="1" t="str">
        <f>TRIM(UPPER(A2))</f>
        <v>ORD-1001</v>
      </c>
    </row>
    <row r="3" spans="1:8" ht="14.4" customHeight="1" x14ac:dyDescent="0.3">
      <c r="A3" s="7" t="s">
        <v>63</v>
      </c>
      <c r="B3" s="7" t="s">
        <v>11</v>
      </c>
      <c r="C3" s="7" t="s">
        <v>12</v>
      </c>
      <c r="D3" s="7">
        <v>28</v>
      </c>
      <c r="E3" s="13">
        <v>46145</v>
      </c>
      <c r="F3" s="1" t="str">
        <f t="shared" ref="F3:F25" si="0">TRIM(UPPER(A3))</f>
        <v>ORD-1002</v>
      </c>
    </row>
    <row r="4" spans="1:8" ht="14.4" customHeight="1" x14ac:dyDescent="0.3">
      <c r="A4" s="7" t="s">
        <v>13</v>
      </c>
      <c r="B4" s="7" t="s">
        <v>71</v>
      </c>
      <c r="C4" s="7" t="s">
        <v>15</v>
      </c>
      <c r="D4" s="7">
        <v>75</v>
      </c>
      <c r="E4" s="13">
        <v>46146</v>
      </c>
      <c r="F4" s="1" t="str">
        <f t="shared" si="0"/>
        <v>ORD-1003</v>
      </c>
    </row>
    <row r="5" spans="1:8" ht="14.4" customHeight="1" x14ac:dyDescent="0.3">
      <c r="A5" s="7" t="s">
        <v>16</v>
      </c>
      <c r="B5" s="7" t="s">
        <v>17</v>
      </c>
      <c r="C5" s="7" t="s">
        <v>18</v>
      </c>
      <c r="D5" s="7">
        <v>20</v>
      </c>
      <c r="E5" s="13">
        <v>46146</v>
      </c>
      <c r="F5" s="1" t="str">
        <f t="shared" si="0"/>
        <v>ORD-1004</v>
      </c>
    </row>
    <row r="6" spans="1:8" ht="14.4" customHeight="1" x14ac:dyDescent="0.3">
      <c r="A6" s="7" t="s">
        <v>62</v>
      </c>
      <c r="B6" s="7" t="s">
        <v>70</v>
      </c>
      <c r="C6" s="7" t="s">
        <v>22</v>
      </c>
      <c r="D6" s="7">
        <v>40</v>
      </c>
      <c r="E6" s="13">
        <v>46147</v>
      </c>
      <c r="F6" s="1" t="str">
        <f t="shared" si="0"/>
        <v>ORD-1005</v>
      </c>
    </row>
    <row r="7" spans="1:8" ht="14.4" customHeight="1" x14ac:dyDescent="0.3">
      <c r="A7" s="7" t="s">
        <v>23</v>
      </c>
      <c r="B7" s="7" t="s">
        <v>24</v>
      </c>
      <c r="C7" s="7" t="s">
        <v>25</v>
      </c>
      <c r="D7" s="7">
        <v>15</v>
      </c>
      <c r="E7" s="13">
        <v>46147</v>
      </c>
      <c r="F7" s="1" t="str">
        <f t="shared" si="0"/>
        <v>ORD-1006</v>
      </c>
    </row>
    <row r="8" spans="1:8" ht="14.4" customHeight="1" x14ac:dyDescent="0.3">
      <c r="A8" s="7" t="s">
        <v>27</v>
      </c>
      <c r="B8" s="7" t="s">
        <v>28</v>
      </c>
      <c r="C8" s="7" t="s">
        <v>29</v>
      </c>
      <c r="D8" s="7">
        <v>60</v>
      </c>
      <c r="E8" s="13">
        <v>46148</v>
      </c>
      <c r="F8" s="1" t="str">
        <f t="shared" si="0"/>
        <v>ORD-1007</v>
      </c>
    </row>
    <row r="9" spans="1:8" ht="14.4" customHeight="1" x14ac:dyDescent="0.3">
      <c r="A9" s="7" t="s">
        <v>30</v>
      </c>
      <c r="B9" s="7" t="s">
        <v>31</v>
      </c>
      <c r="C9" s="7" t="s">
        <v>32</v>
      </c>
      <c r="D9" s="7">
        <v>90</v>
      </c>
      <c r="E9" s="13">
        <v>46148</v>
      </c>
      <c r="F9" s="1" t="str">
        <f t="shared" si="0"/>
        <v>ORD-1008</v>
      </c>
    </row>
    <row r="10" spans="1:8" ht="14.4" customHeight="1" x14ac:dyDescent="0.3">
      <c r="A10" s="7" t="s">
        <v>61</v>
      </c>
      <c r="B10" s="7" t="s">
        <v>45</v>
      </c>
      <c r="C10" s="7" t="s">
        <v>46</v>
      </c>
      <c r="D10" s="7">
        <v>45</v>
      </c>
      <c r="E10" s="13">
        <v>46149</v>
      </c>
      <c r="F10" s="1" t="str">
        <f t="shared" si="0"/>
        <v>ORD-1009</v>
      </c>
    </row>
    <row r="11" spans="1:8" ht="14.4" customHeight="1" x14ac:dyDescent="0.3">
      <c r="A11" s="7" t="s">
        <v>33</v>
      </c>
      <c r="B11" s="7" t="s">
        <v>34</v>
      </c>
      <c r="C11" s="7" t="s">
        <v>35</v>
      </c>
      <c r="D11" s="7">
        <v>25</v>
      </c>
      <c r="E11" s="13">
        <v>46149</v>
      </c>
      <c r="F11" s="1" t="str">
        <f t="shared" si="0"/>
        <v>ORD-1010</v>
      </c>
    </row>
    <row r="12" spans="1:8" ht="14.4" customHeight="1" x14ac:dyDescent="0.3">
      <c r="A12" s="7" t="s">
        <v>36</v>
      </c>
      <c r="B12" s="7" t="s">
        <v>72</v>
      </c>
      <c r="C12" s="7" t="s">
        <v>8</v>
      </c>
      <c r="D12" s="7">
        <v>35</v>
      </c>
      <c r="E12" s="13">
        <v>46150</v>
      </c>
      <c r="F12" s="1" t="str">
        <f t="shared" si="0"/>
        <v>ORD-1011</v>
      </c>
    </row>
    <row r="13" spans="1:8" ht="14.4" customHeight="1" x14ac:dyDescent="0.3">
      <c r="A13" s="7" t="s">
        <v>60</v>
      </c>
      <c r="B13" s="7" t="s">
        <v>11</v>
      </c>
      <c r="C13" s="7" t="s">
        <v>12</v>
      </c>
      <c r="D13" s="7">
        <v>20</v>
      </c>
      <c r="E13" s="13">
        <v>46150</v>
      </c>
      <c r="F13" s="1" t="str">
        <f t="shared" si="0"/>
        <v>ORD-1012</v>
      </c>
      <c r="G13" s="7"/>
      <c r="H13" s="8"/>
    </row>
    <row r="14" spans="1:8" ht="14.4" customHeight="1" x14ac:dyDescent="0.3">
      <c r="A14" s="7" t="s">
        <v>38</v>
      </c>
      <c r="B14" s="7" t="s">
        <v>71</v>
      </c>
      <c r="C14" s="7" t="s">
        <v>15</v>
      </c>
      <c r="D14" s="7">
        <v>55</v>
      </c>
      <c r="E14" s="13">
        <v>46151</v>
      </c>
      <c r="F14" s="1" t="str">
        <f t="shared" si="0"/>
        <v>ORD-1013</v>
      </c>
      <c r="G14" s="7"/>
      <c r="H14" s="8"/>
    </row>
    <row r="15" spans="1:8" ht="14.4" customHeight="1" x14ac:dyDescent="0.3">
      <c r="A15" s="7" t="s">
        <v>40</v>
      </c>
      <c r="B15" s="7" t="s">
        <v>17</v>
      </c>
      <c r="C15" s="7" t="s">
        <v>18</v>
      </c>
      <c r="D15" s="7">
        <v>30</v>
      </c>
      <c r="E15" s="13">
        <v>46151</v>
      </c>
      <c r="F15" s="1" t="str">
        <f t="shared" si="0"/>
        <v>ORD-1014</v>
      </c>
      <c r="G15" s="7"/>
      <c r="H15" s="8"/>
    </row>
    <row r="16" spans="1:8" ht="14.4" customHeight="1" x14ac:dyDescent="0.3">
      <c r="A16" s="7" t="s">
        <v>41</v>
      </c>
      <c r="B16" s="7" t="s">
        <v>70</v>
      </c>
      <c r="C16" s="7" t="s">
        <v>22</v>
      </c>
      <c r="D16" s="7">
        <v>65</v>
      </c>
      <c r="E16" s="13">
        <v>46152</v>
      </c>
      <c r="F16" s="1" t="str">
        <f t="shared" si="0"/>
        <v>ORD-1015</v>
      </c>
      <c r="G16" s="7"/>
      <c r="H16" s="8"/>
    </row>
    <row r="17" spans="1:8" ht="14.4" customHeight="1" x14ac:dyDescent="0.3">
      <c r="A17" s="7" t="s">
        <v>42</v>
      </c>
      <c r="B17" s="7" t="s">
        <v>24</v>
      </c>
      <c r="C17" s="7" t="s">
        <v>25</v>
      </c>
      <c r="D17" s="7">
        <v>8</v>
      </c>
      <c r="E17" s="13">
        <v>46152</v>
      </c>
      <c r="F17" s="1" t="str">
        <f t="shared" si="0"/>
        <v>ORD-1016</v>
      </c>
      <c r="G17" s="7"/>
      <c r="H17" s="8"/>
    </row>
    <row r="18" spans="1:8" ht="14.4" customHeight="1" x14ac:dyDescent="0.3">
      <c r="A18" s="7" t="s">
        <v>59</v>
      </c>
      <c r="B18" s="7" t="s">
        <v>28</v>
      </c>
      <c r="C18" s="7" t="s">
        <v>29</v>
      </c>
      <c r="D18" s="7">
        <v>50</v>
      </c>
      <c r="E18" s="13">
        <v>46153</v>
      </c>
      <c r="F18" s="1" t="str">
        <f t="shared" si="0"/>
        <v>ORD-1017</v>
      </c>
      <c r="G18" s="7"/>
      <c r="H18" s="8"/>
    </row>
    <row r="19" spans="1:8" ht="14.4" customHeight="1" x14ac:dyDescent="0.3">
      <c r="A19" s="7" t="s">
        <v>58</v>
      </c>
      <c r="B19" s="7" t="s">
        <v>31</v>
      </c>
      <c r="C19" s="7" t="s">
        <v>32</v>
      </c>
      <c r="D19" s="7">
        <v>80</v>
      </c>
      <c r="E19" s="13">
        <v>46153</v>
      </c>
      <c r="F19" s="1" t="str">
        <f t="shared" si="0"/>
        <v>ORD-1018</v>
      </c>
      <c r="G19" s="7"/>
      <c r="H19" s="8"/>
    </row>
    <row r="20" spans="1:8" ht="14.4" customHeight="1" x14ac:dyDescent="0.3">
      <c r="A20" s="7" t="s">
        <v>47</v>
      </c>
      <c r="B20" s="7" t="s">
        <v>34</v>
      </c>
      <c r="C20" s="7" t="s">
        <v>35</v>
      </c>
      <c r="D20" s="7">
        <v>15</v>
      </c>
      <c r="E20" s="13">
        <v>46154</v>
      </c>
      <c r="F20" s="1" t="str">
        <f t="shared" si="0"/>
        <v>ORD-1020</v>
      </c>
      <c r="G20" s="7"/>
      <c r="H20" s="8"/>
    </row>
    <row r="21" spans="1:8" ht="14.4" customHeight="1" x14ac:dyDescent="0.3">
      <c r="A21" s="7" t="s">
        <v>49</v>
      </c>
      <c r="B21" s="7" t="s">
        <v>72</v>
      </c>
      <c r="C21" s="7" t="s">
        <v>8</v>
      </c>
      <c r="D21" s="7">
        <v>70</v>
      </c>
      <c r="E21" s="13">
        <v>46155</v>
      </c>
      <c r="F21" s="1" t="str">
        <f t="shared" si="0"/>
        <v>ORD-1021</v>
      </c>
      <c r="G21" s="7"/>
      <c r="H21" s="8"/>
    </row>
    <row r="22" spans="1:8" ht="14.4" customHeight="1" x14ac:dyDescent="0.3">
      <c r="A22" s="7" t="s">
        <v>57</v>
      </c>
      <c r="B22" s="7" t="s">
        <v>11</v>
      </c>
      <c r="C22" s="7" t="s">
        <v>12</v>
      </c>
      <c r="D22" s="7">
        <v>25</v>
      </c>
      <c r="E22" s="13">
        <v>46155</v>
      </c>
      <c r="F22" s="1" t="str">
        <f t="shared" si="0"/>
        <v>ORD-1022</v>
      </c>
      <c r="G22" s="7"/>
      <c r="H22" s="8"/>
    </row>
    <row r="23" spans="1:8" ht="14.4" customHeight="1" x14ac:dyDescent="0.3">
      <c r="A23" s="7" t="s">
        <v>51</v>
      </c>
      <c r="B23" s="7" t="s">
        <v>71</v>
      </c>
      <c r="C23" s="7" t="s">
        <v>15</v>
      </c>
      <c r="D23" s="7">
        <v>40</v>
      </c>
      <c r="E23" s="13">
        <v>46156</v>
      </c>
      <c r="F23" s="1" t="str">
        <f t="shared" si="0"/>
        <v>ORD-1023</v>
      </c>
      <c r="G23" s="7"/>
      <c r="H23" s="8"/>
    </row>
    <row r="24" spans="1:8" ht="14.4" customHeight="1" x14ac:dyDescent="0.3">
      <c r="A24" s="7" t="s">
        <v>52</v>
      </c>
      <c r="B24" s="7" t="s">
        <v>17</v>
      </c>
      <c r="C24" s="7" t="s">
        <v>18</v>
      </c>
      <c r="D24" s="7">
        <v>35</v>
      </c>
      <c r="E24" s="13">
        <v>46156</v>
      </c>
      <c r="F24" s="1" t="str">
        <f t="shared" si="0"/>
        <v>ORD-1024</v>
      </c>
      <c r="G24" s="7"/>
      <c r="H24" s="8"/>
    </row>
    <row r="25" spans="1:8" ht="14.4" customHeight="1" x14ac:dyDescent="0.3">
      <c r="A25" s="7" t="s">
        <v>53</v>
      </c>
      <c r="B25" s="7" t="s">
        <v>70</v>
      </c>
      <c r="C25" s="7" t="s">
        <v>22</v>
      </c>
      <c r="D25" s="7">
        <v>60</v>
      </c>
      <c r="E25" s="13">
        <v>46157</v>
      </c>
      <c r="F25" s="1" t="str">
        <f t="shared" si="0"/>
        <v>ORD-1025</v>
      </c>
      <c r="G25" s="7"/>
      <c r="H25" s="8"/>
    </row>
    <row r="26" spans="1:8" x14ac:dyDescent="0.3">
      <c r="C26" s="7"/>
      <c r="D26" s="7"/>
      <c r="E26" s="10"/>
      <c r="F26" s="7"/>
      <c r="G26" s="7"/>
      <c r="H26" s="8"/>
    </row>
    <row r="27" spans="1:8" x14ac:dyDescent="0.3">
      <c r="C27" s="7"/>
      <c r="D27" s="7"/>
      <c r="E27" s="10"/>
      <c r="F27" s="7"/>
      <c r="G27" s="7"/>
      <c r="H27" s="8"/>
    </row>
    <row r="28" spans="1:8" x14ac:dyDescent="0.3">
      <c r="C28" s="7"/>
      <c r="D28" s="7"/>
      <c r="E28" s="10"/>
      <c r="F28" s="7"/>
      <c r="G28" s="7"/>
      <c r="H28" s="8"/>
    </row>
    <row r="29" spans="1:8" x14ac:dyDescent="0.3">
      <c r="C29" s="7"/>
      <c r="D29" s="7"/>
      <c r="E29" s="10"/>
      <c r="F29" s="7"/>
      <c r="G29" s="7"/>
      <c r="H29" s="8"/>
    </row>
    <row r="30" spans="1:8" x14ac:dyDescent="0.3">
      <c r="C30" s="7"/>
      <c r="D30" s="7"/>
      <c r="E30" s="10"/>
      <c r="F30" s="7"/>
      <c r="G30" s="7"/>
      <c r="H30" s="8"/>
    </row>
    <row r="31" spans="1:8" x14ac:dyDescent="0.3">
      <c r="C31" s="7"/>
      <c r="D31" s="7"/>
      <c r="E31" s="10"/>
      <c r="F31" s="7"/>
      <c r="G31" s="7"/>
      <c r="H31" s="8"/>
    </row>
    <row r="32" spans="1:8" x14ac:dyDescent="0.3">
      <c r="C32" s="7"/>
      <c r="D32" s="7"/>
      <c r="E32" s="10"/>
      <c r="F32" s="7"/>
      <c r="G32" s="7"/>
      <c r="H32" s="8"/>
    </row>
    <row r="33" spans="3:8" x14ac:dyDescent="0.3">
      <c r="C33" s="7"/>
      <c r="D33" s="7"/>
      <c r="E33" s="10"/>
      <c r="F33" s="7"/>
      <c r="G33" s="7"/>
      <c r="H33" s="8"/>
    </row>
    <row r="34" spans="3:8" x14ac:dyDescent="0.3">
      <c r="C34" s="7"/>
      <c r="D34" s="7"/>
      <c r="E34" s="10"/>
      <c r="F34" s="7"/>
      <c r="G34" s="7"/>
      <c r="H34" s="8"/>
    </row>
    <row r="35" spans="3:8" x14ac:dyDescent="0.3">
      <c r="C35" s="7"/>
      <c r="D35" s="7"/>
      <c r="E35" s="10"/>
      <c r="F35" s="7"/>
      <c r="G35" s="7"/>
      <c r="H35" s="8"/>
    </row>
    <row r="36" spans="3:8" x14ac:dyDescent="0.3">
      <c r="C36" s="7"/>
      <c r="D36" s="7"/>
      <c r="E36" s="10"/>
      <c r="F36" s="7"/>
      <c r="G36" s="7"/>
      <c r="H3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21DD-059F-4571-B40D-8E44F4D9BFB5}">
  <dimension ref="A1:K30"/>
  <sheetViews>
    <sheetView tabSelected="1" zoomScale="75" zoomScaleNormal="75" workbookViewId="0">
      <pane ySplit="1" topLeftCell="A2" activePane="bottomLeft" state="frozen"/>
      <selection pane="bottomLeft" activeCell="E29" sqref="E29"/>
    </sheetView>
  </sheetViews>
  <sheetFormatPr defaultColWidth="8.6640625" defaultRowHeight="14.4" x14ac:dyDescent="0.3"/>
  <cols>
    <col min="1" max="1" width="11" customWidth="1"/>
    <col min="2" max="2" width="27.109375" bestFit="1" customWidth="1"/>
    <col min="3" max="3" width="26" customWidth="1"/>
    <col min="4" max="4" width="11" customWidth="1"/>
    <col min="5" max="5" width="12" customWidth="1"/>
    <col min="6" max="6" width="20" customWidth="1"/>
    <col min="7" max="7" width="22" customWidth="1"/>
    <col min="8" max="9" width="18" customWidth="1"/>
    <col min="10" max="10" width="28" bestFit="1" customWidth="1"/>
    <col min="11" max="11" width="16.44140625" bestFit="1" customWidth="1"/>
  </cols>
  <sheetData>
    <row r="1" spans="1:11" x14ac:dyDescent="0.3">
      <c r="A1" s="21" t="s">
        <v>69</v>
      </c>
      <c r="B1" s="21" t="s">
        <v>68</v>
      </c>
      <c r="C1" s="21" t="s">
        <v>1</v>
      </c>
      <c r="D1" s="21" t="s">
        <v>66</v>
      </c>
      <c r="E1" s="22" t="s">
        <v>65</v>
      </c>
      <c r="F1" s="21" t="s">
        <v>79</v>
      </c>
      <c r="G1" s="21" t="s">
        <v>87</v>
      </c>
      <c r="H1" s="21" t="s">
        <v>80</v>
      </c>
      <c r="I1" s="21" t="s">
        <v>86</v>
      </c>
      <c r="J1" s="21" t="s">
        <v>85</v>
      </c>
      <c r="K1" s="22" t="s">
        <v>84</v>
      </c>
    </row>
    <row r="2" spans="1:11" x14ac:dyDescent="0.3">
      <c r="A2" s="19" t="str">
        <f>'[1]Raw - Client Orders'!A2</f>
        <v>ORD-1001</v>
      </c>
      <c r="B2" s="19" t="str">
        <f>'[1]Raw - Client Orders'!B2</f>
        <v>Brightline Retail</v>
      </c>
      <c r="C2" s="19" t="str">
        <f>'[1]Raw - Client Orders'!C2</f>
        <v>Wireless Mouse - Black</v>
      </c>
      <c r="D2" s="19" t="str">
        <f>'[1]Raw - Client Orders'!D2</f>
        <v>SKU-1001</v>
      </c>
      <c r="E2" s="19">
        <f>'[1]Raw - Client Orders'!E2</f>
        <v>50</v>
      </c>
      <c r="F2" s="19">
        <f>IFERROR(INDEX('[1]Raw - Agency Report'!$D$2:$D$25,MATCH('[1]Raw - Client Orders'!G2,'[1]Raw - Agency Report'!$G$2:$G$25,0)),"Missing")</f>
        <v>45</v>
      </c>
      <c r="G2" s="19">
        <f>IFERROR(INDEX('[1]Raw - Warehouse Log'!$D$2:$D$25,MATCH('[1]Raw - Client Orders'!G2,'[1]Raw - Warehouse Log'!$F$2:$F$25,0)),"Missing")</f>
        <v>50</v>
      </c>
      <c r="H2" s="18" t="str">
        <f>IF(F2="Missing","Missing in Agency Report",IF(F2&lt;&gt;E2,"Quantity Mismatch","Match"))</f>
        <v>Quantity Mismatch</v>
      </c>
      <c r="I2" s="18" t="str">
        <f>IF(G2="Missing","Missing in Warehouse Log",IF(G2&lt;&gt;E2,"Quantity Mismatch","Match"))</f>
        <v>Match</v>
      </c>
      <c r="J2" s="18" t="str">
        <f>IFERROR(IF(INDEX('[1]Raw - Agency Report'!$H$2:$H$25,MATCH('[1]Raw - Client Orders'!G2,'[1]Raw - Agency Report'!$G$2:$G$25,0))="Yes","Duplicate row in Agency Report",""),"")</f>
        <v/>
      </c>
      <c r="K2" s="18" t="str">
        <f>IF(OR(H2&lt;&gt;"Match",I2&lt;&gt;"Match"),"NEEDS REVIEW","OK")</f>
        <v>NEEDS REVIEW</v>
      </c>
    </row>
    <row r="3" spans="1:11" x14ac:dyDescent="0.3">
      <c r="A3" s="19" t="str">
        <f>'[1]Raw - Client Orders'!A3</f>
        <v>ORD-1002</v>
      </c>
      <c r="B3" s="19" t="str">
        <f>'[1]Raw - Client Orders'!B3</f>
        <v>Brightline Retail</v>
      </c>
      <c r="C3" s="19" t="str">
        <f>'[1]Raw - Client Orders'!C3</f>
        <v>Mechanical Keyboard</v>
      </c>
      <c r="D3" s="19" t="str">
        <f>'[1]Raw - Client Orders'!D3</f>
        <v>SKU-1002</v>
      </c>
      <c r="E3" s="19">
        <f>'[1]Raw - Client Orders'!E3</f>
        <v>30</v>
      </c>
      <c r="F3" s="19">
        <f>IFERROR(INDEX('[1]Raw - Agency Report'!$D$2:$D$25,MATCH('[1]Raw - Client Orders'!G3,'[1]Raw - Agency Report'!$G$2:$G$25,0)),"Missing")</f>
        <v>30</v>
      </c>
      <c r="G3" s="19">
        <f>IFERROR(INDEX('[1]Raw - Warehouse Log'!$D$2:$D$25,MATCH('[1]Raw - Client Orders'!G3,'[1]Raw - Warehouse Log'!$F$2:$F$25,0)),"Missing")</f>
        <v>28</v>
      </c>
      <c r="H3" s="18" t="str">
        <f>IF(F3="Missing","Missing in Agency Report",IF(F3&lt;&gt;E3,"Quantity Mismatch","Match"))</f>
        <v>Match</v>
      </c>
      <c r="I3" s="18" t="str">
        <f>IF(G3="Missing","Missing in Warehouse Log",IF(G3&lt;&gt;E3,"Quantity Mismatch","Match"))</f>
        <v>Quantity Mismatch</v>
      </c>
      <c r="J3" s="18" t="str">
        <f>IFERROR(IF(INDEX('[1]Raw - Agency Report'!$H$2:$H$25,MATCH('[1]Raw - Client Orders'!G3,'[1]Raw - Agency Report'!$G$2:$G$25,0))="Yes","Duplicate row in Agency Report",""),"")</f>
        <v/>
      </c>
      <c r="K3" s="18" t="str">
        <f>IF(OR(H3&lt;&gt;"Match",I3&lt;&gt;"Match"),"NEEDS REVIEW","OK")</f>
        <v>NEEDS REVIEW</v>
      </c>
    </row>
    <row r="4" spans="1:11" x14ac:dyDescent="0.3">
      <c r="A4" s="19" t="str">
        <f>'[1]Raw - Client Orders'!A4</f>
        <v>ORD-1003</v>
      </c>
      <c r="B4" s="19" t="str">
        <f>'[1]Raw - Client Orders'!B4</f>
        <v>Nova Goods</v>
      </c>
      <c r="C4" s="19" t="str">
        <f>'[1]Raw - Client Orders'!C4</f>
        <v>USB-C Hub 7-in-1</v>
      </c>
      <c r="D4" s="19" t="str">
        <f>'[1]Raw - Client Orders'!D4</f>
        <v>SKU-1003</v>
      </c>
      <c r="E4" s="19">
        <f>'[1]Raw - Client Orders'!E4</f>
        <v>75</v>
      </c>
      <c r="F4" s="19">
        <f>IFERROR(INDEX('[1]Raw - Agency Report'!$D$2:$D$25,MATCH('[1]Raw - Client Orders'!G4,'[1]Raw - Agency Report'!$G$2:$G$25,0)),"Missing")</f>
        <v>75</v>
      </c>
      <c r="G4" s="19">
        <f>IFERROR(INDEX('[1]Raw - Warehouse Log'!$D$2:$D$25,MATCH('[1]Raw - Client Orders'!G4,'[1]Raw - Warehouse Log'!$F$2:$F$25,0)),"Missing")</f>
        <v>75</v>
      </c>
      <c r="H4" s="18" t="str">
        <f>IF(F4="Missing","Missing in Agency Report",IF(F4&lt;&gt;E4,"Quantity Mismatch","Match"))</f>
        <v>Match</v>
      </c>
      <c r="I4" s="18" t="str">
        <f>IF(G4="Missing","Missing in Warehouse Log",IF(G4&lt;&gt;E4,"Quantity Mismatch","Match"))</f>
        <v>Match</v>
      </c>
      <c r="J4" s="18" t="str">
        <f>IFERROR(IF(INDEX('[1]Raw - Agency Report'!$H$2:$H$25,MATCH('[1]Raw - Client Orders'!G4,'[1]Raw - Agency Report'!$G$2:$G$25,0))="Yes","Duplicate row in Agency Report",""),"")</f>
        <v/>
      </c>
      <c r="K4" s="18" t="str">
        <f>IF(OR(H4&lt;&gt;"Match",I4&lt;&gt;"Match"),"NEEDS REVIEW","OK")</f>
        <v>OK</v>
      </c>
    </row>
    <row r="5" spans="1:11" x14ac:dyDescent="0.3">
      <c r="A5" s="19" t="str">
        <f>'[1]Raw - Client Orders'!A5</f>
        <v>ORD-1004</v>
      </c>
      <c r="B5" s="19" t="str">
        <f>'[1]Raw - Client Orders'!B5</f>
        <v>Nova Goods</v>
      </c>
      <c r="C5" s="19" t="str">
        <f>'[1]Raw - Client Orders'!C5</f>
        <v>Webcam HD 1080p</v>
      </c>
      <c r="D5" s="19" t="str">
        <f>'[1]Raw - Client Orders'!D5</f>
        <v>SKU-1004</v>
      </c>
      <c r="E5" s="19">
        <f>'[1]Raw - Client Orders'!E5</f>
        <v>20</v>
      </c>
      <c r="F5" s="19">
        <f>IFERROR(INDEX('[1]Raw - Agency Report'!$D$2:$D$25,MATCH('[1]Raw - Client Orders'!G5,'[1]Raw - Agency Report'!$G$2:$G$25,0)),"Missing")</f>
        <v>20</v>
      </c>
      <c r="G5" s="19">
        <f>IFERROR(INDEX('[1]Raw - Warehouse Log'!$D$2:$D$25,MATCH('[1]Raw - Client Orders'!G5,'[1]Raw - Warehouse Log'!$F$2:$F$25,0)),"Missing")</f>
        <v>20</v>
      </c>
      <c r="H5" s="18" t="str">
        <f>IF(F5="Missing","Missing in Agency Report",IF(F5&lt;&gt;E5,"Quantity Mismatch","Match"))</f>
        <v>Match</v>
      </c>
      <c r="I5" s="18" t="str">
        <f>IF(G5="Missing","Missing in Warehouse Log",IF(G5&lt;&gt;E5,"Quantity Mismatch","Match"))</f>
        <v>Match</v>
      </c>
      <c r="J5" s="18" t="str">
        <f>IFERROR(IF(INDEX('[1]Raw - Agency Report'!$H$2:$H$25,MATCH('[1]Raw - Client Orders'!G5,'[1]Raw - Agency Report'!$G$2:$G$25,0))="Yes","Duplicate row in Agency Report",""),"")</f>
        <v>Duplicate row in Agency Report</v>
      </c>
      <c r="K5" s="18" t="str">
        <f>IF(OR(H5&lt;&gt;"Match",I5&lt;&gt;"Match"),"NEEDS REVIEW","OK")</f>
        <v>OK</v>
      </c>
    </row>
    <row r="6" spans="1:11" x14ac:dyDescent="0.3">
      <c r="A6" s="19" t="str">
        <f>'[1]Raw - Client Orders'!A6</f>
        <v>ORD-1005</v>
      </c>
      <c r="B6" s="19" t="str">
        <f>'[1]Raw - Client Orders'!B6</f>
        <v>Apex Living</v>
      </c>
      <c r="C6" s="19" t="str">
        <f>'[1]Raw - Client Orders'!C6</f>
        <v>Laptop Stand Aluminium</v>
      </c>
      <c r="D6" s="19" t="str">
        <f>'[1]Raw - Client Orders'!D6</f>
        <v>SKU-1005</v>
      </c>
      <c r="E6" s="19">
        <f>'[1]Raw - Client Orders'!E6</f>
        <v>40</v>
      </c>
      <c r="F6" s="19">
        <f>IFERROR(INDEX('[1]Raw - Agency Report'!$D$2:$D$25,MATCH('[1]Raw - Client Orders'!G6,'[1]Raw - Agency Report'!$G$2:$G$25,0)),"Missing")</f>
        <v>40</v>
      </c>
      <c r="G6" s="19">
        <f>IFERROR(INDEX('[1]Raw - Warehouse Log'!$D$2:$D$25,MATCH('[1]Raw - Client Orders'!G6,'[1]Raw - Warehouse Log'!$F$2:$F$25,0)),"Missing")</f>
        <v>40</v>
      </c>
      <c r="H6" s="18" t="str">
        <f>IF(F6="Missing","Missing in Agency Report",IF(F6&lt;&gt;E6,"Quantity Mismatch","Match"))</f>
        <v>Match</v>
      </c>
      <c r="I6" s="18" t="str">
        <f>IF(G6="Missing","Missing in Warehouse Log",IF(G6&lt;&gt;E6,"Quantity Mismatch","Match"))</f>
        <v>Match</v>
      </c>
      <c r="J6" s="18" t="str">
        <f>IFERROR(IF(INDEX('[1]Raw - Agency Report'!$H$2:$H$25,MATCH('[1]Raw - Client Orders'!G6,'[1]Raw - Agency Report'!$G$2:$G$25,0))="Yes","Duplicate row in Agency Report",""),"")</f>
        <v/>
      </c>
      <c r="K6" s="18" t="str">
        <f>IF(OR(H6&lt;&gt;"Match",I6&lt;&gt;"Match"),"NEEDS REVIEW","OK")</f>
        <v>OK</v>
      </c>
    </row>
    <row r="7" spans="1:11" x14ac:dyDescent="0.3">
      <c r="A7" s="19" t="str">
        <f>'[1]Raw - Client Orders'!A7</f>
        <v>ORD-1006</v>
      </c>
      <c r="B7" s="19" t="str">
        <f>'[1]Raw - Client Orders'!B7</f>
        <v>Apex Living</v>
      </c>
      <c r="C7" s="19" t="str">
        <f>'[1]Raw - Client Orders'!C7</f>
        <v>Noise Cancelling Headphones</v>
      </c>
      <c r="D7" s="19" t="str">
        <f>'[1]Raw - Client Orders'!D7</f>
        <v>SKU-1006</v>
      </c>
      <c r="E7" s="19">
        <f>'[1]Raw - Client Orders'!E7</f>
        <v>15</v>
      </c>
      <c r="F7" s="19">
        <f>IFERROR(INDEX('[1]Raw - Agency Report'!$D$2:$D$25,MATCH('[1]Raw - Client Orders'!G7,'[1]Raw - Agency Report'!$G$2:$G$25,0)),"Missing")</f>
        <v>12</v>
      </c>
      <c r="G7" s="19">
        <f>IFERROR(INDEX('[1]Raw - Warehouse Log'!$D$2:$D$25,MATCH('[1]Raw - Client Orders'!G7,'[1]Raw - Warehouse Log'!$F$2:$F$25,0)),"Missing")</f>
        <v>15</v>
      </c>
      <c r="H7" s="18" t="str">
        <f>IF(F7="Missing","Missing in Agency Report",IF(F7&lt;&gt;E7,"Quantity Mismatch","Match"))</f>
        <v>Quantity Mismatch</v>
      </c>
      <c r="I7" s="18" t="str">
        <f>IF(G7="Missing","Missing in Warehouse Log",IF(G7&lt;&gt;E7,"Quantity Mismatch","Match"))</f>
        <v>Match</v>
      </c>
      <c r="J7" s="18" t="str">
        <f>IFERROR(IF(INDEX('[1]Raw - Agency Report'!$H$2:$H$25,MATCH('[1]Raw - Client Orders'!G7,'[1]Raw - Agency Report'!$G$2:$G$25,0))="Yes","Duplicate row in Agency Report",""),"")</f>
        <v/>
      </c>
      <c r="K7" s="18" t="str">
        <f>IF(OR(H7&lt;&gt;"Match",I7&lt;&gt;"Match"),"NEEDS REVIEW","OK")</f>
        <v>NEEDS REVIEW</v>
      </c>
    </row>
    <row r="8" spans="1:11" x14ac:dyDescent="0.3">
      <c r="A8" s="19" t="str">
        <f>'[1]Raw - Client Orders'!A8</f>
        <v>ORD-1007</v>
      </c>
      <c r="B8" s="19" t="str">
        <f>'[1]Raw - Client Orders'!B8</f>
        <v>Brightline Retail</v>
      </c>
      <c r="C8" s="19" t="str">
        <f>'[1]Raw - Client Orders'!C8</f>
        <v>Portable SSD 1TB</v>
      </c>
      <c r="D8" s="19" t="str">
        <f>'[1]Raw - Client Orders'!D8</f>
        <v>SKU-1007</v>
      </c>
      <c r="E8" s="19">
        <f>'[1]Raw - Client Orders'!E8</f>
        <v>60</v>
      </c>
      <c r="F8" s="19">
        <f>IFERROR(INDEX('[1]Raw - Agency Report'!$D$2:$D$25,MATCH('[1]Raw - Client Orders'!G8,'[1]Raw - Agency Report'!$G$2:$G$25,0)),"Missing")</f>
        <v>60</v>
      </c>
      <c r="G8" s="19">
        <f>IFERROR(INDEX('[1]Raw - Warehouse Log'!$D$2:$D$25,MATCH('[1]Raw - Client Orders'!G8,'[1]Raw - Warehouse Log'!$F$2:$F$25,0)),"Missing")</f>
        <v>60</v>
      </c>
      <c r="H8" s="18" t="str">
        <f>IF(F8="Missing","Missing in Agency Report",IF(F8&lt;&gt;E8,"Quantity Mismatch","Match"))</f>
        <v>Match</v>
      </c>
      <c r="I8" s="18" t="str">
        <f>IF(G8="Missing","Missing in Warehouse Log",IF(G8&lt;&gt;E8,"Quantity Mismatch","Match"))</f>
        <v>Match</v>
      </c>
      <c r="J8" s="18" t="str">
        <f>IFERROR(IF(INDEX('[1]Raw - Agency Report'!$H$2:$H$25,MATCH('[1]Raw - Client Orders'!G8,'[1]Raw - Agency Report'!$G$2:$G$25,0))="Yes","Duplicate row in Agency Report",""),"")</f>
        <v/>
      </c>
      <c r="K8" s="18" t="str">
        <f>IF(OR(H8&lt;&gt;"Match",I8&lt;&gt;"Match"),"NEEDS REVIEW","OK")</f>
        <v>OK</v>
      </c>
    </row>
    <row r="9" spans="1:11" x14ac:dyDescent="0.3">
      <c r="A9" s="19" t="str">
        <f>'[1]Raw - Client Orders'!A9</f>
        <v>ORD-1008</v>
      </c>
      <c r="B9" s="19" t="str">
        <f>'[1]Raw - Client Orders'!B9</f>
        <v>Brightline Retail</v>
      </c>
      <c r="C9" s="19" t="str">
        <f>'[1]Raw - Client Orders'!C9</f>
        <v>Wireless Charger Pad</v>
      </c>
      <c r="D9" s="19" t="str">
        <f>'[1]Raw - Client Orders'!D9</f>
        <v>SKU-1008</v>
      </c>
      <c r="E9" s="19">
        <f>'[1]Raw - Client Orders'!E9</f>
        <v>100</v>
      </c>
      <c r="F9" s="19">
        <f>IFERROR(INDEX('[1]Raw - Agency Report'!$D$2:$D$25,MATCH('[1]Raw - Client Orders'!G9,'[1]Raw - Agency Report'!$G$2:$G$25,0)),"Missing")</f>
        <v>100</v>
      </c>
      <c r="G9" s="19">
        <f>IFERROR(INDEX('[1]Raw - Warehouse Log'!$D$2:$D$25,MATCH('[1]Raw - Client Orders'!G9,'[1]Raw - Warehouse Log'!$F$2:$F$25,0)),"Missing")</f>
        <v>90</v>
      </c>
      <c r="H9" s="18" t="str">
        <f>IF(F9="Missing","Missing in Agency Report",IF(F9&lt;&gt;E9,"Quantity Mismatch","Match"))</f>
        <v>Match</v>
      </c>
      <c r="I9" s="18" t="str">
        <f>IF(G9="Missing","Missing in Warehouse Log",IF(G9&lt;&gt;E9,"Quantity Mismatch","Match"))</f>
        <v>Quantity Mismatch</v>
      </c>
      <c r="J9" s="18" t="str">
        <f>IFERROR(IF(INDEX('[1]Raw - Agency Report'!$H$2:$H$25,MATCH('[1]Raw - Client Orders'!G9,'[1]Raw - Agency Report'!$G$2:$G$25,0))="Yes","Duplicate row in Agency Report",""),"")</f>
        <v/>
      </c>
      <c r="K9" s="18" t="str">
        <f>IF(OR(H9&lt;&gt;"Match",I9&lt;&gt;"Match"),"NEEDS REVIEW","OK")</f>
        <v>NEEDS REVIEW</v>
      </c>
    </row>
    <row r="10" spans="1:11" x14ac:dyDescent="0.3">
      <c r="A10" s="19" t="str">
        <f>'[1]Raw - Client Orders'!A10</f>
        <v>ORD-1009</v>
      </c>
      <c r="B10" s="19" t="str">
        <f>'[1]Raw - Client Orders'!B10</f>
        <v>Nova Goods</v>
      </c>
      <c r="C10" s="19" t="str">
        <f>'[1]Raw - Client Orders'!C10</f>
        <v>Bluetooth Speaker Mini</v>
      </c>
      <c r="D10" s="19" t="str">
        <f>'[1]Raw - Client Orders'!D10</f>
        <v>SKU-1009</v>
      </c>
      <c r="E10" s="19">
        <f>'[1]Raw - Client Orders'!E10</f>
        <v>45</v>
      </c>
      <c r="F10" s="19" t="str">
        <f>IFERROR(INDEX('[1]Raw - Agency Report'!$D$2:$D$25,MATCH('[1]Raw - Client Orders'!G10,'[1]Raw - Agency Report'!$G$2:$G$25,0)),"Missing")</f>
        <v>Missing</v>
      </c>
      <c r="G10" s="19">
        <f>IFERROR(INDEX('[1]Raw - Warehouse Log'!$D$2:$D$25,MATCH('[1]Raw - Client Orders'!G10,'[1]Raw - Warehouse Log'!$F$2:$F$25,0)),"Missing")</f>
        <v>45</v>
      </c>
      <c r="H10" s="18" t="str">
        <f>IF(F10="Missing","Missing in Agency Report",IF(F10&lt;&gt;E10,"Quantity Mismatch","Match"))</f>
        <v>Missing in Agency Report</v>
      </c>
      <c r="I10" s="18" t="str">
        <f>IF(G10="Missing","Missing in Warehouse Log",IF(G10&lt;&gt;E10,"Quantity Mismatch","Match"))</f>
        <v>Match</v>
      </c>
      <c r="J10" s="18" t="str">
        <f>IFERROR(IF(INDEX('[1]Raw - Agency Report'!$H$2:$H$25,MATCH('[1]Raw - Client Orders'!G10,'[1]Raw - Agency Report'!$G$2:$G$25,0))="Yes","Duplicate row in Agency Report",""),"")</f>
        <v/>
      </c>
      <c r="K10" s="18" t="str">
        <f>IF(OR(H10&lt;&gt;"Match",I10&lt;&gt;"Match"),"NEEDS REVIEW","OK")</f>
        <v>NEEDS REVIEW</v>
      </c>
    </row>
    <row r="11" spans="1:11" x14ac:dyDescent="0.3">
      <c r="A11" s="19" t="str">
        <f>'[1]Raw - Client Orders'!A11</f>
        <v>ORD-1010</v>
      </c>
      <c r="B11" s="19" t="str">
        <f>'[1]Raw - Client Orders'!B11</f>
        <v>Nova Goods</v>
      </c>
      <c r="C11" s="19" t="str">
        <f>'[1]Raw - Client Orders'!C11</f>
        <v>Monitor Arm Mount</v>
      </c>
      <c r="D11" s="19" t="str">
        <f>'[1]Raw - Client Orders'!D11</f>
        <v>SKU-1010</v>
      </c>
      <c r="E11" s="19">
        <f>'[1]Raw - Client Orders'!E11</f>
        <v>25</v>
      </c>
      <c r="F11" s="19">
        <f>IFERROR(INDEX('[1]Raw - Agency Report'!$D$2:$D$25,MATCH('[1]Raw - Client Orders'!G11,'[1]Raw - Agency Report'!$G$2:$G$25,0)),"Missing")</f>
        <v>25</v>
      </c>
      <c r="G11" s="19">
        <f>IFERROR(INDEX('[1]Raw - Warehouse Log'!$D$2:$D$25,MATCH('[1]Raw - Client Orders'!G11,'[1]Raw - Warehouse Log'!$F$2:$F$25,0)),"Missing")</f>
        <v>25</v>
      </c>
      <c r="H11" s="18" t="str">
        <f>IF(F11="Missing","Missing in Agency Report",IF(F11&lt;&gt;E11,"Quantity Mismatch","Match"))</f>
        <v>Match</v>
      </c>
      <c r="I11" s="18" t="str">
        <f>IF(G11="Missing","Missing in Warehouse Log",IF(G11&lt;&gt;E11,"Quantity Mismatch","Match"))</f>
        <v>Match</v>
      </c>
      <c r="J11" s="18" t="str">
        <f>IFERROR(IF(INDEX('[1]Raw - Agency Report'!$H$2:$H$25,MATCH('[1]Raw - Client Orders'!G11,'[1]Raw - Agency Report'!$G$2:$G$25,0))="Yes","Duplicate row in Agency Report",""),"")</f>
        <v/>
      </c>
      <c r="K11" s="18" t="str">
        <f>IF(OR(H11&lt;&gt;"Match",I11&lt;&gt;"Match"),"NEEDS REVIEW","OK")</f>
        <v>OK</v>
      </c>
    </row>
    <row r="12" spans="1:11" x14ac:dyDescent="0.3">
      <c r="A12" s="19" t="str">
        <f>'[1]Raw - Client Orders'!A12</f>
        <v>ORD-1011</v>
      </c>
      <c r="B12" s="19" t="str">
        <f>'[1]Raw - Client Orders'!B12</f>
        <v>Apex Living</v>
      </c>
      <c r="C12" s="19" t="str">
        <f>'[1]Raw - Client Orders'!C12</f>
        <v>Wireless Mouse - Black</v>
      </c>
      <c r="D12" s="19" t="str">
        <f>'[1]Raw - Client Orders'!D12</f>
        <v>SKU-1001</v>
      </c>
      <c r="E12" s="19">
        <f>'[1]Raw - Client Orders'!E12</f>
        <v>35</v>
      </c>
      <c r="F12" s="19">
        <f>IFERROR(INDEX('[1]Raw - Agency Report'!$D$2:$D$25,MATCH('[1]Raw - Client Orders'!G12,'[1]Raw - Agency Report'!$G$2:$G$25,0)),"Missing")</f>
        <v>35</v>
      </c>
      <c r="G12" s="19">
        <f>IFERROR(INDEX('[1]Raw - Warehouse Log'!$D$2:$D$25,MATCH('[1]Raw - Client Orders'!G12,'[1]Raw - Warehouse Log'!$F$2:$F$25,0)),"Missing")</f>
        <v>35</v>
      </c>
      <c r="H12" s="18" t="str">
        <f>IF(F12="Missing","Missing in Agency Report",IF(F12&lt;&gt;E12,"Quantity Mismatch","Match"))</f>
        <v>Match</v>
      </c>
      <c r="I12" s="18" t="str">
        <f>IF(G12="Missing","Missing in Warehouse Log",IF(G12&lt;&gt;E12,"Quantity Mismatch","Match"))</f>
        <v>Match</v>
      </c>
      <c r="J12" s="18" t="str">
        <f>IFERROR(IF(INDEX('[1]Raw - Agency Report'!$H$2:$H$25,MATCH('[1]Raw - Client Orders'!G12,'[1]Raw - Agency Report'!$G$2:$G$25,0))="Yes","Duplicate row in Agency Report",""),"")</f>
        <v/>
      </c>
      <c r="K12" s="18" t="str">
        <f>IF(OR(H12&lt;&gt;"Match",I12&lt;&gt;"Match"),"NEEDS REVIEW","OK")</f>
        <v>OK</v>
      </c>
    </row>
    <row r="13" spans="1:11" x14ac:dyDescent="0.3">
      <c r="A13" s="19" t="str">
        <f>'[1]Raw - Client Orders'!A13</f>
        <v>ORD-1012</v>
      </c>
      <c r="B13" s="19" t="str">
        <f>'[1]Raw - Client Orders'!B13</f>
        <v>Apex Living</v>
      </c>
      <c r="C13" s="19" t="str">
        <f>'[1]Raw - Client Orders'!C13</f>
        <v>Mechanical Keyboard</v>
      </c>
      <c r="D13" s="19" t="str">
        <f>'[1]Raw - Client Orders'!D13</f>
        <v>SKU-1002</v>
      </c>
      <c r="E13" s="19">
        <f>'[1]Raw - Client Orders'!E13</f>
        <v>20</v>
      </c>
      <c r="F13" s="19">
        <f>IFERROR(INDEX('[1]Raw - Agency Report'!$D$2:$D$25,MATCH('[1]Raw - Client Orders'!G13,'[1]Raw - Agency Report'!$G$2:$G$25,0)),"Missing")</f>
        <v>20</v>
      </c>
      <c r="G13" s="19">
        <f>IFERROR(INDEX('[1]Raw - Warehouse Log'!$D$2:$D$25,MATCH('[1]Raw - Client Orders'!G13,'[1]Raw - Warehouse Log'!$F$2:$F$25,0)),"Missing")</f>
        <v>20</v>
      </c>
      <c r="H13" s="18" t="str">
        <f>IF(F13="Missing","Missing in Agency Report",IF(F13&lt;&gt;E13,"Quantity Mismatch","Match"))</f>
        <v>Match</v>
      </c>
      <c r="I13" s="18" t="str">
        <f>IF(G13="Missing","Missing in Warehouse Log",IF(G13&lt;&gt;E13,"Quantity Mismatch","Match"))</f>
        <v>Match</v>
      </c>
      <c r="J13" s="18" t="str">
        <f>IFERROR(IF(INDEX('[1]Raw - Agency Report'!$H$2:$H$25,MATCH('[1]Raw - Client Orders'!G13,'[1]Raw - Agency Report'!$G$2:$G$25,0))="Yes","Duplicate row in Agency Report",""),"")</f>
        <v/>
      </c>
      <c r="K13" s="18" t="str">
        <f>IF(OR(H13&lt;&gt;"Match",I13&lt;&gt;"Match"),"NEEDS REVIEW","OK")</f>
        <v>OK</v>
      </c>
    </row>
    <row r="14" spans="1:11" x14ac:dyDescent="0.3">
      <c r="A14" s="19" t="str">
        <f>'[1]Raw - Client Orders'!A14</f>
        <v>ORD-1013</v>
      </c>
      <c r="B14" s="19" t="str">
        <f>'[1]Raw - Client Orders'!B14</f>
        <v>Brightline Retail</v>
      </c>
      <c r="C14" s="19" t="str">
        <f>'[1]Raw - Client Orders'!C14</f>
        <v>USB-C Hub 7-in-1</v>
      </c>
      <c r="D14" s="19" t="str">
        <f>'[1]Raw - Client Orders'!D14</f>
        <v>SKU-1003</v>
      </c>
      <c r="E14" s="19">
        <f>'[1]Raw - Client Orders'!E14</f>
        <v>55</v>
      </c>
      <c r="F14" s="19">
        <f>IFERROR(INDEX('[1]Raw - Agency Report'!$D$2:$D$25,MATCH('[1]Raw - Client Orders'!G14,'[1]Raw - Agency Report'!$G$2:$G$25,0)),"Missing")</f>
        <v>50</v>
      </c>
      <c r="G14" s="19">
        <f>IFERROR(INDEX('[1]Raw - Warehouse Log'!$D$2:$D$25,MATCH('[1]Raw - Client Orders'!G14,'[1]Raw - Warehouse Log'!$F$2:$F$25,0)),"Missing")</f>
        <v>55</v>
      </c>
      <c r="H14" s="18" t="str">
        <f>IF(F14="Missing","Missing in Agency Report",IF(F14&lt;&gt;E14,"Quantity Mismatch","Match"))</f>
        <v>Quantity Mismatch</v>
      </c>
      <c r="I14" s="18" t="str">
        <f>IF(G14="Missing","Missing in Warehouse Log",IF(G14&lt;&gt;E14,"Quantity Mismatch","Match"))</f>
        <v>Match</v>
      </c>
      <c r="J14" s="18" t="str">
        <f>IFERROR(IF(INDEX('[1]Raw - Agency Report'!$H$2:$H$25,MATCH('[1]Raw - Client Orders'!G14,'[1]Raw - Agency Report'!$G$2:$G$25,0))="Yes","Duplicate row in Agency Report",""),"")</f>
        <v/>
      </c>
      <c r="K14" s="18" t="str">
        <f>IF(OR(H14&lt;&gt;"Match",I14&lt;&gt;"Match"),"NEEDS REVIEW","OK")</f>
        <v>NEEDS REVIEW</v>
      </c>
    </row>
    <row r="15" spans="1:11" x14ac:dyDescent="0.3">
      <c r="A15" s="19" t="str">
        <f>'[1]Raw - Client Orders'!A15</f>
        <v>ORD-1014</v>
      </c>
      <c r="B15" s="19" t="str">
        <f>'[1]Raw - Client Orders'!B15</f>
        <v>Brightline Retail</v>
      </c>
      <c r="C15" s="19" t="str">
        <f>'[1]Raw - Client Orders'!C15</f>
        <v>Webcam HD 1080p</v>
      </c>
      <c r="D15" s="19" t="str">
        <f>'[1]Raw - Client Orders'!D15</f>
        <v>SKU-1004</v>
      </c>
      <c r="E15" s="19">
        <f>'[1]Raw - Client Orders'!E15</f>
        <v>30</v>
      </c>
      <c r="F15" s="19">
        <f>IFERROR(INDEX('[1]Raw - Agency Report'!$D$2:$D$25,MATCH('[1]Raw - Client Orders'!G15,'[1]Raw - Agency Report'!$G$2:$G$25,0)),"Missing")</f>
        <v>30</v>
      </c>
      <c r="G15" s="19">
        <f>IFERROR(INDEX('[1]Raw - Warehouse Log'!$D$2:$D$25,MATCH('[1]Raw - Client Orders'!G15,'[1]Raw - Warehouse Log'!$F$2:$F$25,0)),"Missing")</f>
        <v>30</v>
      </c>
      <c r="H15" s="18" t="str">
        <f>IF(F15="Missing","Missing in Agency Report",IF(F15&lt;&gt;E15,"Quantity Mismatch","Match"))</f>
        <v>Match</v>
      </c>
      <c r="I15" s="18" t="str">
        <f>IF(G15="Missing","Missing in Warehouse Log",IF(G15&lt;&gt;E15,"Quantity Mismatch","Match"))</f>
        <v>Match</v>
      </c>
      <c r="J15" s="18" t="str">
        <f>IFERROR(IF(INDEX('[1]Raw - Agency Report'!$H$2:$H$25,MATCH('[1]Raw - Client Orders'!G15,'[1]Raw - Agency Report'!$G$2:$G$25,0))="Yes","Duplicate row in Agency Report",""),"")</f>
        <v/>
      </c>
      <c r="K15" s="18" t="str">
        <f>IF(OR(H15&lt;&gt;"Match",I15&lt;&gt;"Match"),"NEEDS REVIEW","OK")</f>
        <v>OK</v>
      </c>
    </row>
    <row r="16" spans="1:11" x14ac:dyDescent="0.3">
      <c r="A16" s="19" t="str">
        <f>'[1]Raw - Client Orders'!A16</f>
        <v>ORD-1015</v>
      </c>
      <c r="B16" s="19" t="str">
        <f>'[1]Raw - Client Orders'!B16</f>
        <v>Nova Goods</v>
      </c>
      <c r="C16" s="19" t="str">
        <f>'[1]Raw - Client Orders'!C16</f>
        <v>Laptop Stand Aluminium</v>
      </c>
      <c r="D16" s="19" t="str">
        <f>'[1]Raw - Client Orders'!D16</f>
        <v>SKU-1005</v>
      </c>
      <c r="E16" s="19">
        <f>'[1]Raw - Client Orders'!E16</f>
        <v>65</v>
      </c>
      <c r="F16" s="19">
        <f>IFERROR(INDEX('[1]Raw - Agency Report'!$D$2:$D$25,MATCH('[1]Raw - Client Orders'!G16,'[1]Raw - Agency Report'!$G$2:$G$25,0)),"Missing")</f>
        <v>65</v>
      </c>
      <c r="G16" s="19">
        <f>IFERROR(INDEX('[1]Raw - Warehouse Log'!$D$2:$D$25,MATCH('[1]Raw - Client Orders'!G16,'[1]Raw - Warehouse Log'!$F$2:$F$25,0)),"Missing")</f>
        <v>65</v>
      </c>
      <c r="H16" s="18" t="str">
        <f>IF(F16="Missing","Missing in Agency Report",IF(F16&lt;&gt;E16,"Quantity Mismatch","Match"))</f>
        <v>Match</v>
      </c>
      <c r="I16" s="18" t="str">
        <f>IF(G16="Missing","Missing in Warehouse Log",IF(G16&lt;&gt;E16,"Quantity Mismatch","Match"))</f>
        <v>Match</v>
      </c>
      <c r="J16" s="18" t="str">
        <f>IFERROR(IF(INDEX('[1]Raw - Agency Report'!$H$2:$H$25,MATCH('[1]Raw - Client Orders'!G16,'[1]Raw - Agency Report'!$G$2:$G$25,0))="Yes","Duplicate row in Agency Report",""),"")</f>
        <v/>
      </c>
      <c r="K16" s="18" t="str">
        <f>IF(OR(H16&lt;&gt;"Match",I16&lt;&gt;"Match"),"NEEDS REVIEW","OK")</f>
        <v>OK</v>
      </c>
    </row>
    <row r="17" spans="1:11" x14ac:dyDescent="0.3">
      <c r="A17" s="19" t="str">
        <f>'[1]Raw - Client Orders'!A17</f>
        <v>ORD-1016</v>
      </c>
      <c r="B17" s="19" t="str">
        <f>'[1]Raw - Client Orders'!B17</f>
        <v>Nova Goods</v>
      </c>
      <c r="C17" s="19" t="str">
        <f>'[1]Raw - Client Orders'!C17</f>
        <v>Noise Cancelling Headphones</v>
      </c>
      <c r="D17" s="19" t="str">
        <f>'[1]Raw - Client Orders'!D17</f>
        <v>SKU-1006</v>
      </c>
      <c r="E17" s="19">
        <f>'[1]Raw - Client Orders'!E17</f>
        <v>10</v>
      </c>
      <c r="F17" s="19">
        <f>IFERROR(INDEX('[1]Raw - Agency Report'!$D$2:$D$25,MATCH('[1]Raw - Client Orders'!G17,'[1]Raw - Agency Report'!$G$2:$G$25,0)),"Missing")</f>
        <v>10</v>
      </c>
      <c r="G17" s="19">
        <f>IFERROR(INDEX('[1]Raw - Warehouse Log'!$D$2:$D$25,MATCH('[1]Raw - Client Orders'!G17,'[1]Raw - Warehouse Log'!$F$2:$F$25,0)),"Missing")</f>
        <v>8</v>
      </c>
      <c r="H17" s="18" t="str">
        <f>IF(F17="Missing","Missing in Agency Report",IF(F17&lt;&gt;E17,"Quantity Mismatch","Match"))</f>
        <v>Match</v>
      </c>
      <c r="I17" s="18" t="str">
        <f>IF(G17="Missing","Missing in Warehouse Log",IF(G17&lt;&gt;E17,"Quantity Mismatch","Match"))</f>
        <v>Quantity Mismatch</v>
      </c>
      <c r="J17" s="18" t="str">
        <f>IFERROR(IF(INDEX('[1]Raw - Agency Report'!$H$2:$H$25,MATCH('[1]Raw - Client Orders'!G17,'[1]Raw - Agency Report'!$G$2:$G$25,0))="Yes","Duplicate row in Agency Report",""),"")</f>
        <v/>
      </c>
      <c r="K17" s="18" t="str">
        <f>IF(OR(H17&lt;&gt;"Match",I17&lt;&gt;"Match"),"NEEDS REVIEW","OK")</f>
        <v>NEEDS REVIEW</v>
      </c>
    </row>
    <row r="18" spans="1:11" x14ac:dyDescent="0.3">
      <c r="A18" s="19" t="str">
        <f>'[1]Raw - Client Orders'!A18</f>
        <v>ORD-1017</v>
      </c>
      <c r="B18" s="19" t="str">
        <f>'[1]Raw - Client Orders'!B18</f>
        <v>Apex Living</v>
      </c>
      <c r="C18" s="19" t="str">
        <f>'[1]Raw - Client Orders'!C18</f>
        <v>Portable SSD 1TB</v>
      </c>
      <c r="D18" s="19" t="str">
        <f>'[1]Raw - Client Orders'!D18</f>
        <v>SKU-1007</v>
      </c>
      <c r="E18" s="19">
        <f>'[1]Raw - Client Orders'!E18</f>
        <v>50</v>
      </c>
      <c r="F18" s="19" t="str">
        <f>IFERROR(INDEX('[1]Raw - Agency Report'!$D$2:$D$25,MATCH('[1]Raw - Client Orders'!G18,'[1]Raw - Agency Report'!$G$2:$G$25,0)),"Missing")</f>
        <v>Missing</v>
      </c>
      <c r="G18" s="19">
        <f>IFERROR(INDEX('[1]Raw - Warehouse Log'!$D$2:$D$25,MATCH('[1]Raw - Client Orders'!G18,'[1]Raw - Warehouse Log'!$F$2:$F$25,0)),"Missing")</f>
        <v>50</v>
      </c>
      <c r="H18" s="18" t="str">
        <f>IF(F18="Missing","Missing in Agency Report",IF(F18&lt;&gt;E18,"Quantity Mismatch","Match"))</f>
        <v>Missing in Agency Report</v>
      </c>
      <c r="I18" s="18" t="str">
        <f>IF(G18="Missing","Missing in Warehouse Log",IF(G18&lt;&gt;E18,"Quantity Mismatch","Match"))</f>
        <v>Match</v>
      </c>
      <c r="J18" s="18" t="str">
        <f>IFERROR(IF(INDEX('[1]Raw - Agency Report'!$H$2:$H$25,MATCH('[1]Raw - Client Orders'!G18,'[1]Raw - Agency Report'!$G$2:$G$25,0))="Yes","Duplicate row in Agency Report",""),"")</f>
        <v/>
      </c>
      <c r="K18" s="18" t="str">
        <f>IF(OR(H18&lt;&gt;"Match",I18&lt;&gt;"Match"),"NEEDS REVIEW","OK")</f>
        <v>NEEDS REVIEW</v>
      </c>
    </row>
    <row r="19" spans="1:11" x14ac:dyDescent="0.3">
      <c r="A19" s="19" t="str">
        <f>'[1]Raw - Client Orders'!A19</f>
        <v>ORD-1018</v>
      </c>
      <c r="B19" s="19" t="str">
        <f>'[1]Raw - Client Orders'!B19</f>
        <v>Apex Living</v>
      </c>
      <c r="C19" s="19" t="str">
        <f>'[1]Raw - Client Orders'!C19</f>
        <v>Wireless Charger Pad</v>
      </c>
      <c r="D19" s="19" t="str">
        <f>'[1]Raw - Client Orders'!D19</f>
        <v>SKU-1008</v>
      </c>
      <c r="E19" s="19">
        <f>'[1]Raw - Client Orders'!E19</f>
        <v>80</v>
      </c>
      <c r="F19" s="19">
        <f>IFERROR(INDEX('[1]Raw - Agency Report'!$D$2:$D$25,MATCH('[1]Raw - Client Orders'!G19,'[1]Raw - Agency Report'!$G$2:$G$25,0)),"Missing")</f>
        <v>80</v>
      </c>
      <c r="G19" s="19">
        <f>IFERROR(INDEX('[1]Raw - Warehouse Log'!$D$2:$D$25,MATCH('[1]Raw - Client Orders'!G19,'[1]Raw - Warehouse Log'!$F$2:$F$25,0)),"Missing")</f>
        <v>80</v>
      </c>
      <c r="H19" s="18" t="str">
        <f>IF(F19="Missing","Missing in Agency Report",IF(F19&lt;&gt;E19,"Quantity Mismatch","Match"))</f>
        <v>Match</v>
      </c>
      <c r="I19" s="18" t="str">
        <f>IF(G19="Missing","Missing in Warehouse Log",IF(G19&lt;&gt;E19,"Quantity Mismatch","Match"))</f>
        <v>Match</v>
      </c>
      <c r="J19" s="18" t="str">
        <f>IFERROR(IF(INDEX('[1]Raw - Agency Report'!$H$2:$H$25,MATCH('[1]Raw - Client Orders'!G19,'[1]Raw - Agency Report'!$G$2:$G$25,0))="Yes","Duplicate row in Agency Report",""),"")</f>
        <v/>
      </c>
      <c r="K19" s="18" t="str">
        <f>IF(OR(H19&lt;&gt;"Match",I19&lt;&gt;"Match"),"NEEDS REVIEW","OK")</f>
        <v>OK</v>
      </c>
    </row>
    <row r="20" spans="1:11" x14ac:dyDescent="0.3">
      <c r="A20" s="19" t="str">
        <f>'[1]Raw - Client Orders'!A20</f>
        <v>ORD-1019</v>
      </c>
      <c r="B20" s="19" t="str">
        <f>'[1]Raw - Client Orders'!B20</f>
        <v>Brightline Retail</v>
      </c>
      <c r="C20" s="19" t="str">
        <f>'[1]Raw - Client Orders'!C20</f>
        <v>Bluetooth Speaker Mini</v>
      </c>
      <c r="D20" s="19" t="str">
        <f>'[1]Raw - Client Orders'!D20</f>
        <v>SKU-1009</v>
      </c>
      <c r="E20" s="19">
        <f>'[1]Raw - Client Orders'!E20</f>
        <v>40</v>
      </c>
      <c r="F20" s="19">
        <f>IFERROR(INDEX('[1]Raw - Agency Report'!$D$2:$D$25,MATCH('[1]Raw - Client Orders'!G20,'[1]Raw - Agency Report'!$G$2:$G$25,0)),"Missing")</f>
        <v>40</v>
      </c>
      <c r="G20" s="19" t="str">
        <f>IFERROR(INDEX('[1]Raw - Warehouse Log'!$D$2:$D$25,MATCH('[1]Raw - Client Orders'!G20,'[1]Raw - Warehouse Log'!$F$2:$F$25,0)),"Missing")</f>
        <v>Missing</v>
      </c>
      <c r="H20" s="18" t="str">
        <f>IF(F20="Missing","Missing in Agency Report",IF(F20&lt;&gt;E20,"Quantity Mismatch","Match"))</f>
        <v>Match</v>
      </c>
      <c r="I20" s="18" t="str">
        <f>IF(G20="Missing","Missing in Warehouse Log",IF(G20&lt;&gt;E20,"Quantity Mismatch","Match"))</f>
        <v>Missing in Warehouse Log</v>
      </c>
      <c r="J20" s="18" t="str">
        <f>IFERROR(IF(INDEX('[1]Raw - Agency Report'!$H$2:$H$25,MATCH('[1]Raw - Client Orders'!G20,'[1]Raw - Agency Report'!$G$2:$G$25,0))="Yes","Duplicate row in Agency Report",""),"")</f>
        <v/>
      </c>
      <c r="K20" s="18" t="str">
        <f>IF(OR(H20&lt;&gt;"Match",I20&lt;&gt;"Match"),"NEEDS REVIEW","OK")</f>
        <v>NEEDS REVIEW</v>
      </c>
    </row>
    <row r="21" spans="1:11" x14ac:dyDescent="0.3">
      <c r="A21" s="19" t="str">
        <f>'[1]Raw - Client Orders'!A21</f>
        <v>ORD-1020</v>
      </c>
      <c r="B21" s="19" t="str">
        <f>'[1]Raw - Client Orders'!B21</f>
        <v>Brightline Retail</v>
      </c>
      <c r="C21" s="19" t="str">
        <f>'[1]Raw - Client Orders'!C21</f>
        <v>Monitor Arm Mount</v>
      </c>
      <c r="D21" s="19" t="str">
        <f>'[1]Raw - Client Orders'!D21</f>
        <v>SKU-1010</v>
      </c>
      <c r="E21" s="19">
        <f>'[1]Raw - Client Orders'!E21</f>
        <v>15</v>
      </c>
      <c r="F21" s="19">
        <f>IFERROR(INDEX('[1]Raw - Agency Report'!$D$2:$D$25,MATCH('[1]Raw - Client Orders'!G21,'[1]Raw - Agency Report'!$G$2:$G$25,0)),"Missing")</f>
        <v>20</v>
      </c>
      <c r="G21" s="19">
        <f>IFERROR(INDEX('[1]Raw - Warehouse Log'!$D$2:$D$25,MATCH('[1]Raw - Client Orders'!G21,'[1]Raw - Warehouse Log'!$F$2:$F$25,0)),"Missing")</f>
        <v>15</v>
      </c>
      <c r="H21" s="18" t="str">
        <f>IF(F21="Missing","Missing in Agency Report",IF(F21&lt;&gt;E21,"Quantity Mismatch","Match"))</f>
        <v>Quantity Mismatch</v>
      </c>
      <c r="I21" s="18" t="str">
        <f>IF(G21="Missing","Missing in Warehouse Log",IF(G21&lt;&gt;E21,"Quantity Mismatch","Match"))</f>
        <v>Match</v>
      </c>
      <c r="J21" s="18" t="str">
        <f>IFERROR(IF(INDEX('[1]Raw - Agency Report'!$H$2:$H$25,MATCH('[1]Raw - Client Orders'!G21,'[1]Raw - Agency Report'!$G$2:$G$25,0))="Yes","Duplicate row in Agency Report",""),"")</f>
        <v/>
      </c>
      <c r="K21" s="18" t="str">
        <f>IF(OR(H21&lt;&gt;"Match",I21&lt;&gt;"Match"),"NEEDS REVIEW","OK")</f>
        <v>NEEDS REVIEW</v>
      </c>
    </row>
    <row r="22" spans="1:11" x14ac:dyDescent="0.3">
      <c r="A22" s="19" t="str">
        <f>'[1]Raw - Client Orders'!A22</f>
        <v>ORD-1021</v>
      </c>
      <c r="B22" s="19" t="str">
        <f>'[1]Raw - Client Orders'!B22</f>
        <v>Nova Goods</v>
      </c>
      <c r="C22" s="19" t="str">
        <f>'[1]Raw - Client Orders'!C22</f>
        <v>Wireless Mouse - Black</v>
      </c>
      <c r="D22" s="19" t="str">
        <f>'[1]Raw - Client Orders'!D22</f>
        <v>SKU-1001</v>
      </c>
      <c r="E22" s="19">
        <f>'[1]Raw - Client Orders'!E22</f>
        <v>70</v>
      </c>
      <c r="F22" s="19">
        <f>IFERROR(INDEX('[1]Raw - Agency Report'!$D$2:$D$25,MATCH('[1]Raw - Client Orders'!G22,'[1]Raw - Agency Report'!$G$2:$G$25,0)),"Missing")</f>
        <v>70</v>
      </c>
      <c r="G22" s="19">
        <f>IFERROR(INDEX('[1]Raw - Warehouse Log'!$D$2:$D$25,MATCH('[1]Raw - Client Orders'!G22,'[1]Raw - Warehouse Log'!$F$2:$F$25,0)),"Missing")</f>
        <v>70</v>
      </c>
      <c r="H22" s="18" t="str">
        <f>IF(F22="Missing","Missing in Agency Report",IF(F22&lt;&gt;E22,"Quantity Mismatch","Match"))</f>
        <v>Match</v>
      </c>
      <c r="I22" s="18" t="str">
        <f>IF(G22="Missing","Missing in Warehouse Log",IF(G22&lt;&gt;E22,"Quantity Mismatch","Match"))</f>
        <v>Match</v>
      </c>
      <c r="J22" s="18" t="str">
        <f>IFERROR(IF(INDEX('[1]Raw - Agency Report'!$H$2:$H$25,MATCH('[1]Raw - Client Orders'!G22,'[1]Raw - Agency Report'!$G$2:$G$25,0))="Yes","Duplicate row in Agency Report",""),"")</f>
        <v/>
      </c>
      <c r="K22" s="18" t="str">
        <f>IF(OR(H22&lt;&gt;"Match",I22&lt;&gt;"Match"),"NEEDS REVIEW","OK")</f>
        <v>OK</v>
      </c>
    </row>
    <row r="23" spans="1:11" x14ac:dyDescent="0.3">
      <c r="A23" s="19" t="str">
        <f>'[1]Raw - Client Orders'!A23</f>
        <v>ORD-1022</v>
      </c>
      <c r="B23" s="19" t="str">
        <f>'[1]Raw - Client Orders'!B23</f>
        <v>Nova Goods</v>
      </c>
      <c r="C23" s="19" t="str">
        <f>'[1]Raw - Client Orders'!C23</f>
        <v>Mechanical Keyboard</v>
      </c>
      <c r="D23" s="19" t="str">
        <f>'[1]Raw - Client Orders'!D23</f>
        <v>SKU-1002</v>
      </c>
      <c r="E23" s="19">
        <f>'[1]Raw - Client Orders'!E23</f>
        <v>25</v>
      </c>
      <c r="F23" s="19">
        <f>IFERROR(INDEX('[1]Raw - Agency Report'!$D$2:$D$25,MATCH('[1]Raw - Client Orders'!G23,'[1]Raw - Agency Report'!$G$2:$G$25,0)),"Missing")</f>
        <v>25</v>
      </c>
      <c r="G23" s="19">
        <f>IFERROR(INDEX('[1]Raw - Warehouse Log'!$D$2:$D$25,MATCH('[1]Raw - Client Orders'!G23,'[1]Raw - Warehouse Log'!$F$2:$F$25,0)),"Missing")</f>
        <v>25</v>
      </c>
      <c r="H23" s="18" t="str">
        <f>IF(F23="Missing","Missing in Agency Report",IF(F23&lt;&gt;E23,"Quantity Mismatch","Match"))</f>
        <v>Match</v>
      </c>
      <c r="I23" s="18" t="str">
        <f>IF(G23="Missing","Missing in Warehouse Log",IF(G23&lt;&gt;E23,"Quantity Mismatch","Match"))</f>
        <v>Match</v>
      </c>
      <c r="J23" s="18" t="str">
        <f>IFERROR(IF(INDEX('[1]Raw - Agency Report'!$H$2:$H$25,MATCH('[1]Raw - Client Orders'!G23,'[1]Raw - Agency Report'!$G$2:$G$25,0))="Yes","Duplicate row in Agency Report",""),"")</f>
        <v/>
      </c>
      <c r="K23" s="18" t="str">
        <f>IF(OR(H23&lt;&gt;"Match",I23&lt;&gt;"Match"),"NEEDS REVIEW","OK")</f>
        <v>OK</v>
      </c>
    </row>
    <row r="24" spans="1:11" x14ac:dyDescent="0.3">
      <c r="A24" s="19" t="str">
        <f>'[1]Raw - Client Orders'!A24</f>
        <v>ORD-1023</v>
      </c>
      <c r="B24" s="19" t="str">
        <f>'[1]Raw - Client Orders'!B24</f>
        <v>Apex Living</v>
      </c>
      <c r="C24" s="19" t="str">
        <f>'[1]Raw - Client Orders'!C24</f>
        <v>USB-C Hub 7-in-1</v>
      </c>
      <c r="D24" s="19" t="str">
        <f>'[1]Raw - Client Orders'!D24</f>
        <v>SKU-1003</v>
      </c>
      <c r="E24" s="19">
        <f>'[1]Raw - Client Orders'!E24</f>
        <v>45</v>
      </c>
      <c r="F24" s="19">
        <f>IFERROR(INDEX('[1]Raw - Agency Report'!$D$2:$D$25,MATCH('[1]Raw - Client Orders'!G24,'[1]Raw - Agency Report'!$G$2:$G$25,0)),"Missing")</f>
        <v>45</v>
      </c>
      <c r="G24" s="19">
        <f>IFERROR(INDEX('[1]Raw - Warehouse Log'!$D$2:$D$25,MATCH('[1]Raw - Client Orders'!G24,'[1]Raw - Warehouse Log'!$F$2:$F$25,0)),"Missing")</f>
        <v>40</v>
      </c>
      <c r="H24" s="18" t="str">
        <f>IF(F24="Missing","Missing in Agency Report",IF(F24&lt;&gt;E24,"Quantity Mismatch","Match"))</f>
        <v>Match</v>
      </c>
      <c r="I24" s="18" t="str">
        <f>IF(G24="Missing","Missing in Warehouse Log",IF(G24&lt;&gt;E24,"Quantity Mismatch","Match"))</f>
        <v>Quantity Mismatch</v>
      </c>
      <c r="J24" s="18" t="str">
        <f>IFERROR(IF(INDEX('[1]Raw - Agency Report'!$H$2:$H$25,MATCH('[1]Raw - Client Orders'!G24,'[1]Raw - Agency Report'!$G$2:$G$25,0))="Yes","Duplicate row in Agency Report",""),"")</f>
        <v/>
      </c>
      <c r="K24" s="18" t="str">
        <f>IF(OR(H24&lt;&gt;"Match",I24&lt;&gt;"Match"),"NEEDS REVIEW","OK")</f>
        <v>NEEDS REVIEW</v>
      </c>
    </row>
    <row r="25" spans="1:11" x14ac:dyDescent="0.3">
      <c r="A25" s="19" t="str">
        <f>'[1]Raw - Client Orders'!A25</f>
        <v>ORD-1024</v>
      </c>
      <c r="B25" s="19" t="str">
        <f>'[1]Raw - Client Orders'!B25</f>
        <v>Apex Living</v>
      </c>
      <c r="C25" s="19" t="str">
        <f>'[1]Raw - Client Orders'!C25</f>
        <v>Webcam HD 1080p</v>
      </c>
      <c r="D25" s="19" t="str">
        <f>'[1]Raw - Client Orders'!D25</f>
        <v>SKU-1004</v>
      </c>
      <c r="E25" s="19">
        <f>'[1]Raw - Client Orders'!E25</f>
        <v>35</v>
      </c>
      <c r="F25" s="19">
        <f>IFERROR(INDEX('[1]Raw - Agency Report'!$D$2:$D$25,MATCH('[1]Raw - Client Orders'!G25,'[1]Raw - Agency Report'!$G$2:$G$25,0)),"Missing")</f>
        <v>30</v>
      </c>
      <c r="G25" s="19">
        <f>IFERROR(INDEX('[1]Raw - Warehouse Log'!$D$2:$D$25,MATCH('[1]Raw - Client Orders'!G25,'[1]Raw - Warehouse Log'!$F$2:$F$25,0)),"Missing")</f>
        <v>35</v>
      </c>
      <c r="H25" s="18" t="str">
        <f>IF(F25="Missing","Missing in Agency Report",IF(F25&lt;&gt;E25,"Quantity Mismatch","Match"))</f>
        <v>Quantity Mismatch</v>
      </c>
      <c r="I25" s="18" t="str">
        <f>IF(G25="Missing","Missing in Warehouse Log",IF(G25&lt;&gt;E25,"Quantity Mismatch","Match"))</f>
        <v>Match</v>
      </c>
      <c r="J25" s="18" t="str">
        <f>IFERROR(IF(INDEX('[1]Raw - Agency Report'!$H$2:$H$25,MATCH('[1]Raw - Client Orders'!G25,'[1]Raw - Agency Report'!$G$2:$G$25,0))="Yes","Duplicate row in Agency Report",""),"")</f>
        <v/>
      </c>
      <c r="K25" s="18" t="str">
        <f>IF(OR(H25&lt;&gt;"Match",I25&lt;&gt;"Match"),"NEEDS REVIEW","OK")</f>
        <v>NEEDS REVIEW</v>
      </c>
    </row>
    <row r="26" spans="1:11" x14ac:dyDescent="0.3">
      <c r="A26" s="19" t="str">
        <f>'[1]Raw - Client Orders'!A26</f>
        <v>ORD-1025</v>
      </c>
      <c r="B26" s="19" t="str">
        <f>'[1]Raw - Client Orders'!B26</f>
        <v>Brightline Retail</v>
      </c>
      <c r="C26" s="19" t="str">
        <f>'[1]Raw - Client Orders'!C26</f>
        <v>Laptop Stand Aluminium</v>
      </c>
      <c r="D26" s="19" t="str">
        <f>'[1]Raw - Client Orders'!D26</f>
        <v>SKU-1005</v>
      </c>
      <c r="E26" s="19">
        <f>'[1]Raw - Client Orders'!E26</f>
        <v>60</v>
      </c>
      <c r="F26" s="19">
        <f>IFERROR(INDEX('[1]Raw - Agency Report'!$D$2:$D$25,MATCH('[1]Raw - Client Orders'!G26,'[1]Raw - Agency Report'!$G$2:$G$25,0)),"Missing")</f>
        <v>60</v>
      </c>
      <c r="G26" s="19">
        <f>IFERROR(INDEX('[1]Raw - Warehouse Log'!$D$2:$D$25,MATCH('[1]Raw - Client Orders'!G26,'[1]Raw - Warehouse Log'!$F$2:$F$25,0)),"Missing")</f>
        <v>60</v>
      </c>
      <c r="H26" s="18" t="str">
        <f>IF(F26="Missing","Missing in Agency Report",IF(F26&lt;&gt;E26,"Quantity Mismatch","Match"))</f>
        <v>Match</v>
      </c>
      <c r="I26" s="18" t="str">
        <f>IF(G26="Missing","Missing in Warehouse Log",IF(G26&lt;&gt;E26,"Quantity Mismatch","Match"))</f>
        <v>Match</v>
      </c>
      <c r="J26" s="18" t="str">
        <f>IFERROR(IF(INDEX('[1]Raw - Agency Report'!$H$2:$H$25,MATCH('[1]Raw - Client Orders'!G26,'[1]Raw - Agency Report'!$G$2:$G$25,0))="Yes","Duplicate row in Agency Report",""),"")</f>
        <v/>
      </c>
      <c r="K26" s="18" t="str">
        <f>IF(OR(H26&lt;&gt;"Match",I26&lt;&gt;"Match"),"NEEDS REVIEW","OK")</f>
        <v>OK</v>
      </c>
    </row>
    <row r="27" spans="1:1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spans="1:11" x14ac:dyDescent="0.3">
      <c r="A28" s="20"/>
      <c r="B28" s="16" t="s">
        <v>83</v>
      </c>
      <c r="C28" s="17">
        <f>COUNTA(A2:A26)</f>
        <v>25</v>
      </c>
      <c r="D28" s="20"/>
      <c r="E28" s="20"/>
      <c r="F28" s="20"/>
      <c r="G28" s="20"/>
      <c r="H28" s="20"/>
      <c r="I28" s="20"/>
      <c r="J28" s="20"/>
      <c r="K28" s="20"/>
    </row>
    <row r="29" spans="1:11" x14ac:dyDescent="0.3">
      <c r="A29" s="20"/>
      <c r="B29" s="16" t="s">
        <v>82</v>
      </c>
      <c r="C29" s="17">
        <f>COUNTIF(K2:K26,"NEEDS REVIEW")</f>
        <v>12</v>
      </c>
      <c r="D29" s="20"/>
      <c r="E29" s="20"/>
      <c r="F29" s="20"/>
      <c r="G29" s="20"/>
      <c r="H29" s="20"/>
      <c r="I29" s="20"/>
      <c r="J29" s="20"/>
      <c r="K29" s="20"/>
    </row>
    <row r="30" spans="1:11" x14ac:dyDescent="0.3">
      <c r="A30" s="20"/>
      <c r="B30" s="16" t="s">
        <v>81</v>
      </c>
      <c r="C30" s="15">
        <f>(C28-C29)/C28</f>
        <v>0.52</v>
      </c>
      <c r="D30" s="20"/>
      <c r="E30" s="20"/>
      <c r="F30" s="20"/>
      <c r="G30" s="20"/>
      <c r="H30" s="20"/>
      <c r="I30" s="20"/>
      <c r="J30" s="20"/>
      <c r="K30" s="20"/>
    </row>
  </sheetData>
  <conditionalFormatting sqref="H2:I26">
    <cfRule type="expression" dxfId="2" priority="3">
      <formula>H2&lt;&gt;"Match"</formula>
    </cfRule>
  </conditionalFormatting>
  <conditionalFormatting sqref="K2:K26">
    <cfRule type="expression" dxfId="1" priority="1">
      <formula>$K2="NEEDS REVIEW"</formula>
    </cfRule>
    <cfRule type="expression" dxfId="0" priority="2">
      <formula>$K2="OK"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2896AC-F621-4BE0-8A8F-6578F75695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93</vt:i4>
      </vt:variant>
    </vt:vector>
  </HeadingPairs>
  <TitlesOfParts>
    <vt:vector size="97" baseType="lpstr">
      <vt:lpstr>Raw- Agency Report</vt:lpstr>
      <vt:lpstr>Raw-client_orders</vt:lpstr>
      <vt:lpstr>Raw-warehouse Log</vt:lpstr>
      <vt:lpstr>Reconciliation Model</vt:lpstr>
      <vt:lpstr>Agency_Notes</vt:lpstr>
      <vt:lpstr>'Raw-client_orders'!Clean_Key</vt:lpstr>
      <vt:lpstr>'Raw-warehouse Log'!Clean_Key</vt:lpstr>
      <vt:lpstr>Clean_Key</vt:lpstr>
      <vt:lpstr>Client</vt:lpstr>
      <vt:lpstr>Dispatch_Date</vt:lpstr>
      <vt:lpstr>Duplicate_Rows</vt:lpstr>
      <vt:lpstr>Fulfilment_Date</vt:lpstr>
      <vt:lpstr>Item_Description</vt:lpstr>
      <vt:lpstr>'Raw-client_orders'!ORD_1001</vt:lpstr>
      <vt:lpstr>'Raw-warehouse Log'!ORD_1001</vt:lpstr>
      <vt:lpstr>ORD_1001</vt:lpstr>
      <vt:lpstr>'Raw-client_orders'!ORD_1002</vt:lpstr>
      <vt:lpstr>'Raw-warehouse Log'!ORD_1002</vt:lpstr>
      <vt:lpstr>ord_1002</vt:lpstr>
      <vt:lpstr>'Raw-client_orders'!ORD_1003</vt:lpstr>
      <vt:lpstr>'Raw-warehouse Log'!ORD_1003</vt:lpstr>
      <vt:lpstr>ORD_1003</vt:lpstr>
      <vt:lpstr>'Raw-client_orders'!ORD_1004</vt:lpstr>
      <vt:lpstr>'Raw-warehouse Log'!ORD_1004</vt:lpstr>
      <vt:lpstr>ORD_1004</vt:lpstr>
      <vt:lpstr>'Raw-client_orders'!ORD_1005</vt:lpstr>
      <vt:lpstr>'Raw-warehouse Log'!ORD_1005</vt:lpstr>
      <vt:lpstr>ORD_1005</vt:lpstr>
      <vt:lpstr>'Raw-client_orders'!ORD_1006</vt:lpstr>
      <vt:lpstr>'Raw-warehouse Log'!ORD_1006</vt:lpstr>
      <vt:lpstr>ORD_1006</vt:lpstr>
      <vt:lpstr>'Raw-client_orders'!ORD_1007</vt:lpstr>
      <vt:lpstr>'Raw-warehouse Log'!ORD_1007</vt:lpstr>
      <vt:lpstr>ORD_1007</vt:lpstr>
      <vt:lpstr>'Raw-client_orders'!ORD_1008</vt:lpstr>
      <vt:lpstr>'Raw-warehouse Log'!ORD_1008</vt:lpstr>
      <vt:lpstr>ORD_1008</vt:lpstr>
      <vt:lpstr>'Raw-warehouse Log'!ORD_1009</vt:lpstr>
      <vt:lpstr>ORD_1009</vt:lpstr>
      <vt:lpstr>'Raw-client_orders'!ORD_1010</vt:lpstr>
      <vt:lpstr>'Raw-warehouse Log'!ORD_1010</vt:lpstr>
      <vt:lpstr>ORD_1010</vt:lpstr>
      <vt:lpstr>'Raw-client_orders'!ORD_1011</vt:lpstr>
      <vt:lpstr>'Raw-warehouse Log'!ORD_1011</vt:lpstr>
      <vt:lpstr>ORD_1011</vt:lpstr>
      <vt:lpstr>'Raw-client_orders'!ORD_1012</vt:lpstr>
      <vt:lpstr>'Raw-warehouse Log'!ORD_1012</vt:lpstr>
      <vt:lpstr>ord_1012</vt:lpstr>
      <vt:lpstr>'Raw-client_orders'!ORD_1013</vt:lpstr>
      <vt:lpstr>'Raw-warehouse Log'!ORD_1013</vt:lpstr>
      <vt:lpstr>ORD_1013</vt:lpstr>
      <vt:lpstr>'Raw-client_orders'!ORD_1014</vt:lpstr>
      <vt:lpstr>'Raw-warehouse Log'!ORD_1014</vt:lpstr>
      <vt:lpstr>ORD_1014</vt:lpstr>
      <vt:lpstr>'Raw-client_orders'!ORD_1015</vt:lpstr>
      <vt:lpstr>'Raw-warehouse Log'!ORD_1015</vt:lpstr>
      <vt:lpstr>ORD_1015</vt:lpstr>
      <vt:lpstr>'Raw-client_orders'!ORD_1016</vt:lpstr>
      <vt:lpstr>'Raw-warehouse Log'!ORD_1016</vt:lpstr>
      <vt:lpstr>ORD_1016</vt:lpstr>
      <vt:lpstr>'Raw-warehouse Log'!ORD_1017</vt:lpstr>
      <vt:lpstr>ORD_1017</vt:lpstr>
      <vt:lpstr>'Raw-client_orders'!ORD_1018</vt:lpstr>
      <vt:lpstr>'Raw-warehouse Log'!ORD_1018</vt:lpstr>
      <vt:lpstr>ORD_1018</vt:lpstr>
      <vt:lpstr>'Raw-client_orders'!ORD_1019</vt:lpstr>
      <vt:lpstr>ORD_1019</vt:lpstr>
      <vt:lpstr>'Raw-client_orders'!ORD_1020</vt:lpstr>
      <vt:lpstr>'Raw-warehouse Log'!ORD_1020</vt:lpstr>
      <vt:lpstr>ORD_1020</vt:lpstr>
      <vt:lpstr>'Raw-client_orders'!ORD_1021</vt:lpstr>
      <vt:lpstr>'Raw-warehouse Log'!ORD_1021</vt:lpstr>
      <vt:lpstr>ORD_1021</vt:lpstr>
      <vt:lpstr>'Raw-client_orders'!ORD_1022</vt:lpstr>
      <vt:lpstr>'Raw-warehouse Log'!ORD_1022</vt:lpstr>
      <vt:lpstr>ord_1022</vt:lpstr>
      <vt:lpstr>'Raw-client_orders'!ORD_1023</vt:lpstr>
      <vt:lpstr>'Raw-warehouse Log'!ORD_1023</vt:lpstr>
      <vt:lpstr>ORD_1023</vt:lpstr>
      <vt:lpstr>'Raw-client_orders'!ORD_1024</vt:lpstr>
      <vt:lpstr>'Raw-warehouse Log'!ORD_1024</vt:lpstr>
      <vt:lpstr>ORD_1024</vt:lpstr>
      <vt:lpstr>'Raw-client_orders'!ORD_1025</vt:lpstr>
      <vt:lpstr>'Raw-warehouse Log'!ORD_1025</vt:lpstr>
      <vt:lpstr>ORD_1025</vt:lpstr>
      <vt:lpstr>Order_Date</vt:lpstr>
      <vt:lpstr>Order_ID</vt:lpstr>
      <vt:lpstr>Order_Number</vt:lpstr>
      <vt:lpstr>Order_Ref</vt:lpstr>
      <vt:lpstr>Product</vt:lpstr>
      <vt:lpstr>Product_Name</vt:lpstr>
      <vt:lpstr>Qty_Dispatched</vt:lpstr>
      <vt:lpstr>Qty_Fulfilled</vt:lpstr>
      <vt:lpstr>Qty_Ordered</vt:lpstr>
      <vt:lpstr>'Raw-warehouse Log'!SKU</vt:lpstr>
      <vt:lpstr>SKU</vt:lpstr>
      <vt:lpstr>SKU_Code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oyelade richard</cp:lastModifiedBy>
  <dcterms:created xsi:type="dcterms:W3CDTF">2026-06-28T17:14:41Z</dcterms:created>
  <dcterms:modified xsi:type="dcterms:W3CDTF">2026-06-28T17:29:45Z</dcterms:modified>
</cp:coreProperties>
</file>